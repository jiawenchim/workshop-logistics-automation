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7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8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essionDB" sheetId="1" state="visible" r:id="rId3"/>
    <sheet name="ParticipantsDB" sheetId="2" state="visible" r:id="rId4"/>
    <sheet name="Participants Statistics" sheetId="3" state="visible" r:id="rId5"/>
    <sheet name="RoomDB" sheetId="4" state="visible" r:id="rId6"/>
    <sheet name="Room Management" sheetId="5" state="visible" r:id="rId7"/>
    <sheet name="Agenda" sheetId="6" state="visible" r:id="rId8"/>
    <sheet name="Speakers" sheetId="7" state="visible" r:id="rId9"/>
    <sheet name="How To Use" sheetId="8" state="visible" r:id="rId10"/>
  </sheets>
  <definedNames>
    <definedName function="false" hidden="true" localSheetId="1" name="_xlnm._FilterDatabase" vbProcedure="false">ParticipantsDB!$A$1:$P$21</definedName>
    <definedName function="false" hidden="true" localSheetId="0" name="_xlnm._FilterDatabase" vbProcedure="false">SessionDB!$A$1:$K$64</definedName>
    <definedName function="false" hidden="true" localSheetId="6" name="_xlnm._FilterDatabase" vbProcedure="false">Speakers!$A$1:$E$15</definedName>
    <definedName function="false" hidden="false" name="TrackList" vbProcedure="false">OFFSET(SessionDB!$R$2,0,0,COUNTA(SessionDB!$R$2:$R$50),1)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<sst xmlns="http://schemas.openxmlformats.org/spreadsheetml/2006/main" count="2158" uniqueCount="413">
  <si>
    <t xml:space="preserve">ID</t>
  </si>
  <si>
    <t xml:space="preserve">Day</t>
  </si>
  <si>
    <t xml:space="preserve">Start</t>
  </si>
  <si>
    <t xml:space="preserve">End</t>
  </si>
  <si>
    <t xml:space="preserve">Title</t>
  </si>
  <si>
    <t xml:space="preserve">Lead</t>
  </si>
  <si>
    <t xml:space="preserve">Room</t>
  </si>
  <si>
    <t xml:space="preserve">Type</t>
  </si>
  <si>
    <t xml:space="preserve">Track</t>
  </si>
  <si>
    <t xml:space="preserve">Capacity</t>
  </si>
  <si>
    <t xml:space="preserve">Expected
Participants</t>
  </si>
  <si>
    <t xml:space="preserve">Tracks (auto)</t>
  </si>
  <si>
    <t xml:space="preserve">Room
Check</t>
  </si>
  <si>
    <t xml:space="preserve">09:00</t>
  </si>
  <si>
    <t xml:space="preserve">10:00</t>
  </si>
  <si>
    <t xml:space="preserve">Opening Keynote</t>
  </si>
  <si>
    <t xml:space="preserve">Dr. Sarah Chen</t>
  </si>
  <si>
    <t xml:space="preserve">Main Hall</t>
  </si>
  <si>
    <t xml:space="preserve">Keynote</t>
  </si>
  <si>
    <t xml:space="preserve">all</t>
  </si>
  <si>
    <t xml:space="preserve">10:30</t>
  </si>
  <si>
    <t xml:space="preserve">12:00</t>
  </si>
  <si>
    <t xml:space="preserve">Leading Through Change</t>
  </si>
  <si>
    <t xml:space="preserve">Mark Torres</t>
  </si>
  <si>
    <t xml:space="preserve">Room A1</t>
  </si>
  <si>
    <t xml:space="preserve">Leadership</t>
  </si>
  <si>
    <t xml:space="preserve">API Design Patterns</t>
  </si>
  <si>
    <t xml:space="preserve">Priya Sharma</t>
  </si>
  <si>
    <t xml:space="preserve">Room B1</t>
  </si>
  <si>
    <t xml:space="preserve">Technical</t>
  </si>
  <si>
    <t xml:space="preserve">Empathy Mapping 101</t>
  </si>
  <si>
    <t xml:space="preserve">Lena Müller</t>
  </si>
  <si>
    <t xml:space="preserve">Room C1</t>
  </si>
  <si>
    <t xml:space="preserve">Design Thinking</t>
  </si>
  <si>
    <t xml:space="preserve">Lean Process Improvement</t>
  </si>
  <si>
    <t xml:space="preserve">James Wright</t>
  </si>
  <si>
    <t xml:space="preserve">Room D1</t>
  </si>
  <si>
    <t xml:space="preserve">Operations</t>
  </si>
  <si>
    <t xml:space="preserve">13:00</t>
  </si>
  <si>
    <t xml:space="preserve">Lunch &amp; Networking</t>
  </si>
  <si>
    <t xml:space="preserve">Atrium</t>
  </si>
  <si>
    <t xml:space="preserve">Break</t>
  </si>
  <si>
    <t xml:space="preserve">14:30</t>
  </si>
  <si>
    <t xml:space="preserve">Stakeholder Alignment</t>
  </si>
  <si>
    <t xml:space="preserve">Aisha Johnson</t>
  </si>
  <si>
    <t xml:space="preserve">Cloud Infrastructure</t>
  </si>
  <si>
    <t xml:space="preserve">David Kim</t>
  </si>
  <si>
    <t xml:space="preserve">Prototyping Sprint</t>
  </si>
  <si>
    <t xml:space="preserve">Carlos Ruiz</t>
  </si>
  <si>
    <t xml:space="preserve">Risk Assessment</t>
  </si>
  <si>
    <t xml:space="preserve">Nina Petrov</t>
  </si>
  <si>
    <t xml:space="preserve">15:00</t>
  </si>
  <si>
    <t xml:space="preserve">Afternoon Break</t>
  </si>
  <si>
    <t xml:space="preserve">16:30</t>
  </si>
  <si>
    <t xml:space="preserve">Feedback Culture</t>
  </si>
  <si>
    <t xml:space="preserve">Tom Bradley</t>
  </si>
  <si>
    <t xml:space="preserve">Data Pipeline Design</t>
  </si>
  <si>
    <t xml:space="preserve">Wei Zhang</t>
  </si>
  <si>
    <t xml:space="preserve">Service Blueprinting</t>
  </si>
  <si>
    <t xml:space="preserve">Agile Ceremonies</t>
  </si>
  <si>
    <t xml:space="preserve">Rachel Green</t>
  </si>
  <si>
    <t xml:space="preserve">Emotional Intelligence</t>
  </si>
  <si>
    <t xml:space="preserve">Security Fundamentals</t>
  </si>
  <si>
    <t xml:space="preserve">Alex Novak</t>
  </si>
  <si>
    <t xml:space="preserve">Design Systems</t>
  </si>
  <si>
    <t xml:space="preserve">Yuki Tanaka</t>
  </si>
  <si>
    <t xml:space="preserve">Capacity Planning</t>
  </si>
  <si>
    <t xml:space="preserve">11:00</t>
  </si>
  <si>
    <t xml:space="preserve">Morning Break</t>
  </si>
  <si>
    <t xml:space="preserve">Panel: Future of Work</t>
  </si>
  <si>
    <t xml:space="preserve">Multiple Speakers</t>
  </si>
  <si>
    <t xml:space="preserve">Conflict Resolution</t>
  </si>
  <si>
    <t xml:space="preserve">DevOps Practices</t>
  </si>
  <si>
    <t xml:space="preserve">Accessibility Workshop</t>
  </si>
  <si>
    <t xml:space="preserve">Vendor Management</t>
  </si>
  <si>
    <t xml:space="preserve">Strategic Planning</t>
  </si>
  <si>
    <t xml:space="preserve">Performance Testing</t>
  </si>
  <si>
    <t xml:space="preserve">User Research Methods</t>
  </si>
  <si>
    <t xml:space="preserve">Budget Forecasting</t>
  </si>
  <si>
    <t xml:space="preserve">Midweek Keynote</t>
  </si>
  <si>
    <t xml:space="preserve">Cross-Team Collaboration</t>
  </si>
  <si>
    <t xml:space="preserve">AI/ML Integration</t>
  </si>
  <si>
    <t xml:space="preserve">Workshop Facilitation</t>
  </si>
  <si>
    <t xml:space="preserve">Incident Response</t>
  </si>
  <si>
    <t xml:space="preserve">Cross-Track Hackathon</t>
  </si>
  <si>
    <t xml:space="preserve">All Facilitators</t>
  </si>
  <si>
    <t xml:space="preserve">All Rooms</t>
  </si>
  <si>
    <t xml:space="preserve">Coaching Skills</t>
  </si>
  <si>
    <t xml:space="preserve">System Architecture</t>
  </si>
  <si>
    <t xml:space="preserve">Data Visualization</t>
  </si>
  <si>
    <t xml:space="preserve">Change Management</t>
  </si>
  <si>
    <t xml:space="preserve">12:30</t>
  </si>
  <si>
    <t xml:space="preserve">Presentation Mastery</t>
  </si>
  <si>
    <t xml:space="preserve">Testing Strategies</t>
  </si>
  <si>
    <t xml:space="preserve">Design Critiques</t>
  </si>
  <si>
    <t xml:space="preserve">Process Automation</t>
  </si>
  <si>
    <t xml:space="preserve">13:30</t>
  </si>
  <si>
    <t xml:space="preserve">Succession Planning</t>
  </si>
  <si>
    <t xml:space="preserve">Code Review Culture</t>
  </si>
  <si>
    <t xml:space="preserve">Design Handoff</t>
  </si>
  <si>
    <t xml:space="preserve">KPI Dashboards</t>
  </si>
  <si>
    <t xml:space="preserve">15:30</t>
  </si>
  <si>
    <t xml:space="preserve">17:00</t>
  </si>
  <si>
    <t xml:space="preserve">Hackathon Presentations</t>
  </si>
  <si>
    <t xml:space="preserve">Selected Teams</t>
  </si>
  <si>
    <t xml:space="preserve">Personal Action Plans</t>
  </si>
  <si>
    <t xml:space="preserve">Tech Roadmapping</t>
  </si>
  <si>
    <t xml:space="preserve">Portfolio Building</t>
  </si>
  <si>
    <t xml:space="preserve">Continuous Improvement</t>
  </si>
  <si>
    <t xml:space="preserve">Track Showcases</t>
  </si>
  <si>
    <t xml:space="preserve">Track Leads</t>
  </si>
  <si>
    <t xml:space="preserve">Farewell Lunch</t>
  </si>
  <si>
    <t xml:space="preserve">14:00</t>
  </si>
  <si>
    <t xml:space="preserve">Closing Keynote &amp; Awards</t>
  </si>
  <si>
    <t xml:space="preserve">Username</t>
  </si>
  <si>
    <t xml:space="preserve">Email</t>
  </si>
  <si>
    <t xml:space="preserve">Department</t>
  </si>
  <si>
    <t xml:space="preserve">Job Title</t>
  </si>
  <si>
    <t xml:space="preserve">Primary
Track</t>
  </si>
  <si>
    <t xml:space="preserve">Non-Local</t>
  </si>
  <si>
    <t xml:space="preserve">Hotel</t>
  </si>
  <si>
    <t xml:space="preserve">Day 1</t>
  </si>
  <si>
    <t xml:space="preserve">Day 2</t>
  </si>
  <si>
    <t xml:space="preserve">Day 3</t>
  </si>
  <si>
    <t xml:space="preserve">Day 4</t>
  </si>
  <si>
    <t xml:space="preserve">Day 5</t>
  </si>
  <si>
    <t xml:space="preserve">Emergency
Contact</t>
  </si>
  <si>
    <t xml:space="preserve">Emergency
Phone</t>
  </si>
  <si>
    <t xml:space="preserve">Notes</t>
  </si>
  <si>
    <t xml:space="preserve">P001</t>
  </si>
  <si>
    <t xml:space="preserve">alice.martinez</t>
  </si>
  <si>
    <t xml:space="preserve">alice.martinez@acme.com</t>
  </si>
  <si>
    <t xml:space="preserve">Product</t>
  </si>
  <si>
    <t xml:space="preserve">Product Manager</t>
  </si>
  <si>
    <t xml:space="preserve">Local</t>
  </si>
  <si>
    <t xml:space="preserve">Yes</t>
  </si>
  <si>
    <t xml:space="preserve">John Martinez</t>
  </si>
  <si>
    <t xml:space="preserve">+1-555-0101</t>
  </si>
  <si>
    <t xml:space="preserve">P002</t>
  </si>
  <si>
    <t xml:space="preserve">ben.okafor</t>
  </si>
  <si>
    <t xml:space="preserve">ben.okafor@techstart.io</t>
  </si>
  <si>
    <t xml:space="preserve">Engineering</t>
  </si>
  <si>
    <t xml:space="preserve">Senior Developer</t>
  </si>
  <si>
    <t xml:space="preserve">Hilton Downtown</t>
  </si>
  <si>
    <t xml:space="preserve">No</t>
  </si>
  <si>
    <t xml:space="preserve">Mary Okafor</t>
  </si>
  <si>
    <t xml:space="preserve">+1-555-0102</t>
  </si>
  <si>
    <t xml:space="preserve">P003</t>
  </si>
  <si>
    <t xml:space="preserve">clara.johansson</t>
  </si>
  <si>
    <t xml:space="preserve">clara.j@nordicdesign.se</t>
  </si>
  <si>
    <t xml:space="preserve">Design</t>
  </si>
  <si>
    <t xml:space="preserve">UX Lead</t>
  </si>
  <si>
    <t xml:space="preserve">Marriott Convention</t>
  </si>
  <si>
    <t xml:space="preserve">Erik Johansson</t>
  </si>
  <si>
    <t xml:space="preserve">+46-70-555-0103</t>
  </si>
  <si>
    <t xml:space="preserve">P004</t>
  </si>
  <si>
    <t xml:space="preserve">daniel.park</t>
  </si>
  <si>
    <t xml:space="preserve">d.park@globalops.com</t>
  </si>
  <si>
    <t xml:space="preserve">Ops Director</t>
  </si>
  <si>
    <t xml:space="preserve">Soo-Min Park</t>
  </si>
  <si>
    <t xml:space="preserve">+1-555-0104</t>
  </si>
  <si>
    <t xml:space="preserve">P005</t>
  </si>
  <si>
    <t xml:space="preserve">elena.rossi</t>
  </si>
  <si>
    <t xml:space="preserve">e.rossi@finserv.it</t>
  </si>
  <si>
    <t xml:space="preserve">Strategy</t>
  </si>
  <si>
    <t xml:space="preserve">Team Lead</t>
  </si>
  <si>
    <t xml:space="preserve">Hyatt Regency</t>
  </si>
  <si>
    <t xml:space="preserve">Marco Rossi</t>
  </si>
  <si>
    <t xml:space="preserve">+39-555-0105</t>
  </si>
  <si>
    <t xml:space="preserve">P006</t>
  </si>
  <si>
    <t xml:space="preserve">fatima.alhassan</t>
  </si>
  <si>
    <t xml:space="preserve">f.alhassan@govtech.ae</t>
  </si>
  <si>
    <t xml:space="preserve">Systems Architect</t>
  </si>
  <si>
    <t xml:space="preserve">Ahmed Al-Hassan</t>
  </si>
  <si>
    <t xml:space="preserve">+971-55-0106</t>
  </si>
  <si>
    <t xml:space="preserve">P007</t>
  </si>
  <si>
    <t xml:space="preserve">george.chen</t>
  </si>
  <si>
    <t xml:space="preserve">g.chen@startuplab.cn</t>
  </si>
  <si>
    <t xml:space="preserve">Design Director</t>
  </si>
  <si>
    <t xml:space="preserve">Wei Chen</t>
  </si>
  <si>
    <t xml:space="preserve">+86-138-0107</t>
  </si>
  <si>
    <t xml:space="preserve">P008</t>
  </si>
  <si>
    <t xml:space="preserve">hannah.weber</t>
  </si>
  <si>
    <t xml:space="preserve">h.weber@logicorp.de</t>
  </si>
  <si>
    <t xml:space="preserve">Process Engineer</t>
  </si>
  <si>
    <t xml:space="preserve">Holiday Inn Express</t>
  </si>
  <si>
    <t xml:space="preserve">Thomas Weber</t>
  </si>
  <si>
    <t xml:space="preserve">+49-170-0108</t>
  </si>
  <si>
    <t xml:space="preserve">P009</t>
  </si>
  <si>
    <t xml:space="preserve">ibrahim.diallo</t>
  </si>
  <si>
    <t xml:space="preserve">i.diallo@afrotech.sn</t>
  </si>
  <si>
    <t xml:space="preserve">Eng. Manager</t>
  </si>
  <si>
    <t xml:space="preserve">Aminata Diallo</t>
  </si>
  <si>
    <t xml:space="preserve">+221-77-0109</t>
  </si>
  <si>
    <t xml:space="preserve">P010</t>
  </si>
  <si>
    <t xml:space="preserve">julia.fernandez</t>
  </si>
  <si>
    <t xml:space="preserve">j.fernandez@consulta.mx</t>
  </si>
  <si>
    <t xml:space="preserve">Strategy Consultant</t>
  </si>
  <si>
    <t xml:space="preserve">Roberto Fernandez</t>
  </si>
  <si>
    <t xml:space="preserve">+52-55-0110</t>
  </si>
  <si>
    <t xml:space="preserve">P011</t>
  </si>
  <si>
    <t xml:space="preserve">kevin.obrien</t>
  </si>
  <si>
    <t xml:space="preserve">k.obrien@dublinsoft.ie</t>
  </si>
  <si>
    <t xml:space="preserve">DevOps Lead</t>
  </si>
  <si>
    <t xml:space="preserve">Siobhan O'Brien</t>
  </si>
  <si>
    <t xml:space="preserve">+353-86-0111</t>
  </si>
  <si>
    <t xml:space="preserve">P012</t>
  </si>
  <si>
    <t xml:space="preserve">lina.nakamura</t>
  </si>
  <si>
    <t xml:space="preserve">l.nakamura@tokyoux.jp</t>
  </si>
  <si>
    <t xml:space="preserve">Service Designer</t>
  </si>
  <si>
    <t xml:space="preserve">Yuki Nakamura</t>
  </si>
  <si>
    <t xml:space="preserve">+81-90-0112</t>
  </si>
  <si>
    <t xml:space="preserve">P013</t>
  </si>
  <si>
    <t xml:space="preserve">marcus.brown</t>
  </si>
  <si>
    <t xml:space="preserve">m.brown@opscenter.us</t>
  </si>
  <si>
    <t xml:space="preserve">Logistics</t>
  </si>
  <si>
    <t xml:space="preserve">Logistics Mgr</t>
  </si>
  <si>
    <t xml:space="preserve">Sarah Brown</t>
  </si>
  <si>
    <t xml:space="preserve">+1-555-0113</t>
  </si>
  <si>
    <t xml:space="preserve">P014</t>
  </si>
  <si>
    <t xml:space="preserve">nadia.kovalenko</t>
  </si>
  <si>
    <t xml:space="preserve">n.kovalenko@dataflow.ua</t>
  </si>
  <si>
    <t xml:space="preserve">Data</t>
  </si>
  <si>
    <t xml:space="preserve">Data Engineer</t>
  </si>
  <si>
    <t xml:space="preserve">Oleksandr K.</t>
  </si>
  <si>
    <t xml:space="preserve">+380-67-0114</t>
  </si>
  <si>
    <t xml:space="preserve">P015</t>
  </si>
  <si>
    <t xml:space="preserve">oscar.lindgren</t>
  </si>
  <si>
    <t xml:space="preserve">o.lindgren@greentech.se</t>
  </si>
  <si>
    <t xml:space="preserve">Sustainability</t>
  </si>
  <si>
    <t xml:space="preserve">Sustainability Lead</t>
  </si>
  <si>
    <t xml:space="preserve">Anna Lindgren</t>
  </si>
  <si>
    <t xml:space="preserve">+46-73-0115</t>
  </si>
  <si>
    <t xml:space="preserve">P016</t>
  </si>
  <si>
    <t xml:space="preserve">priya.menon</t>
  </si>
  <si>
    <t xml:space="preserve">p.menon@cloudnine.in</t>
  </si>
  <si>
    <t xml:space="preserve">VP Engineering</t>
  </si>
  <si>
    <t xml:space="preserve">Raj Menon</t>
  </si>
  <si>
    <t xml:space="preserve">+91-98-0116</t>
  </si>
  <si>
    <t xml:space="preserve">P017</t>
  </si>
  <si>
    <t xml:space="preserve">quentin.dubois</t>
  </si>
  <si>
    <t xml:space="preserve">q.dubois@parislab.fr</t>
  </si>
  <si>
    <t xml:space="preserve">Innovation</t>
  </si>
  <si>
    <t xml:space="preserve">Innovation Lead</t>
  </si>
  <si>
    <t xml:space="preserve">Marie Dubois</t>
  </si>
  <si>
    <t xml:space="preserve">+33-6-0117</t>
  </si>
  <si>
    <t xml:space="preserve">P018</t>
  </si>
  <si>
    <t xml:space="preserve">rachel.kim</t>
  </si>
  <si>
    <t xml:space="preserve">r.kim@seoultech.kr</t>
  </si>
  <si>
    <t xml:space="preserve">Project Manager</t>
  </si>
  <si>
    <t xml:space="preserve">Jun Kim</t>
  </si>
  <si>
    <t xml:space="preserve">+82-10-0118</t>
  </si>
  <si>
    <t xml:space="preserve">P019</t>
  </si>
  <si>
    <t xml:space="preserve">sam.adeyemi</t>
  </si>
  <si>
    <t xml:space="preserve">s.adeyemi@lagosops.ng</t>
  </si>
  <si>
    <t xml:space="preserve">Executive</t>
  </si>
  <si>
    <t xml:space="preserve">COO</t>
  </si>
  <si>
    <t xml:space="preserve">Grace Adeyemi</t>
  </si>
  <si>
    <t xml:space="preserve">+234-80-0119</t>
  </si>
  <si>
    <t xml:space="preserve">P020</t>
  </si>
  <si>
    <t xml:space="preserve">tara.singh</t>
  </si>
  <si>
    <t xml:space="preserve">t.singh@quantumleap.ca</t>
  </si>
  <si>
    <t xml:space="preserve">CTO</t>
  </si>
  <si>
    <t xml:space="preserve">Arjun Singh</t>
  </si>
  <si>
    <t xml:space="preserve">+1-604-0120</t>
  </si>
  <si>
    <t xml:space="preserve">PARTICIPANTS STATISTICS</t>
  </si>
  <si>
    <t xml:space="preserve">HotelList</t>
  </si>
  <si>
    <t xml:space="preserve">DeptList</t>
  </si>
  <si>
    <t xml:space="preserve">TOTAL OVERVIEW</t>
  </si>
  <si>
    <t xml:space="preserve">HOTEL BREAKDOWN</t>
  </si>
  <si>
    <t xml:space="preserve">Total Participants</t>
  </si>
  <si>
    <t xml:space="preserve">Local Participants</t>
  </si>
  <si>
    <t xml:space="preserve">Non-Local Participants</t>
  </si>
  <si>
    <t xml:space="preserve">Non-Local %</t>
  </si>
  <si>
    <t xml:space="preserve">DAILY ATTENDANCE</t>
  </si>
  <si>
    <t xml:space="preserve">Day 1 — Mon Mar 9</t>
  </si>
  <si>
    <t xml:space="preserve">Day 2 — Tue Mar 10</t>
  </si>
  <si>
    <t xml:space="preserve">Day 3 — Wed Mar 11</t>
  </si>
  <si>
    <t xml:space="preserve">Day 4 — Thu Mar 12</t>
  </si>
  <si>
    <t xml:space="preserve">Day 5 — Fri Mar 13</t>
  </si>
  <si>
    <t xml:space="preserve">No Hotel Assigned</t>
  </si>
  <si>
    <t xml:space="preserve">Highest Day</t>
  </si>
  <si>
    <t xml:space="preserve">Total Non-Local (verify)</t>
  </si>
  <si>
    <t xml:space="preserve">Lowest Day</t>
  </si>
  <si>
    <t xml:space="preserve">Avg Daily Attendance</t>
  </si>
  <si>
    <t xml:space="preserve">TRACK × LOCALITY</t>
  </si>
  <si>
    <t xml:space="preserve">BREAKDOWN BY TRACK</t>
  </si>
  <si>
    <t xml:space="preserve">Total (verify)</t>
  </si>
  <si>
    <t xml:space="preserve">DEPARTMENT BREAKDOWN</t>
  </si>
  <si>
    <t xml:space="preserve">ROOM DATABASE — Inventory &amp; Availability</t>
  </si>
  <si>
    <t xml:space="preserve">ROOM INVENTORY</t>
  </si>
  <si>
    <t xml:space="preserve">Room Name</t>
  </si>
  <si>
    <t xml:space="preserve">Floor</t>
  </si>
  <si>
    <t xml:space="preserve">AV Equipment</t>
  </si>
  <si>
    <t xml:space="preserve">1</t>
  </si>
  <si>
    <t xml:space="preserve">Projector, PA, 4x Mics, Recording</t>
  </si>
  <si>
    <t xml:space="preserve">2</t>
  </si>
  <si>
    <t xml:space="preserve">Projector, 2x Mics, Whiteboard</t>
  </si>
  <si>
    <t xml:space="preserve">Projector, 2x Mics, Post-it Wall</t>
  </si>
  <si>
    <t xml:space="preserve">Room E1</t>
  </si>
  <si>
    <t xml:space="preserve">Room E2</t>
  </si>
  <si>
    <t xml:space="preserve">PA System</t>
  </si>
  <si>
    <t xml:space="preserve">Room F1</t>
  </si>
  <si>
    <t xml:space="preserve">3</t>
  </si>
  <si>
    <t xml:space="preserve">Projector, 1x Mic</t>
  </si>
  <si>
    <t xml:space="preserve">Boardroom G</t>
  </si>
  <si>
    <t xml:space="preserve">Terrace</t>
  </si>
  <si>
    <t xml:space="preserve">TV Screen, 1x Mic</t>
  </si>
  <si>
    <t xml:space="preserve">4</t>
  </si>
  <si>
    <t xml:space="preserve">TV Screen, Conf Phone</t>
  </si>
  <si>
    <t xml:space="preserve">Portable Speaker</t>
  </si>
  <si>
    <t xml:space="preserve">ROOM AVAILABILITY SCHEDULE — Mark 'R' for Reserved time slots (blank = not reserved for this event)</t>
  </si>
  <si>
    <t xml:space="preserve">08:00</t>
  </si>
  <si>
    <t xml:space="preserve">08:30</t>
  </si>
  <si>
    <t xml:space="preserve">09:30</t>
  </si>
  <si>
    <t xml:space="preserve">11:30</t>
  </si>
  <si>
    <t xml:space="preserve">16:00</t>
  </si>
  <si>
    <t xml:space="preserve">17:30</t>
  </si>
  <si>
    <t xml:space="preserve">D1</t>
  </si>
  <si>
    <t xml:space="preserve">R</t>
  </si>
  <si>
    <t xml:space="preserve">D2</t>
  </si>
  <si>
    <t xml:space="preserve">D3</t>
  </si>
  <si>
    <t xml:space="preserve">D4</t>
  </si>
  <si>
    <t xml:space="preserve">D5</t>
  </si>
  <si>
    <t xml:space="preserve">ROOM MANAGEMENT — Availability &amp; Booking Overview</t>
  </si>
  <si>
    <t xml:space="preserve">Time</t>
  </si>
  <si>
    <t xml:space="preserve">Main Hall
(200 pax)</t>
  </si>
  <si>
    <t xml:space="preserve">Room A1
(50 pax)</t>
  </si>
  <si>
    <t xml:space="preserve">Room B1
(55 pax)</t>
  </si>
  <si>
    <t xml:space="preserve">Room C1
(45 pax)</t>
  </si>
  <si>
    <t xml:space="preserve">Room D1
(40 pax)</t>
  </si>
  <si>
    <t xml:space="preserve">Atrium
(250 pax)</t>
  </si>
  <si>
    <t xml:space="preserve">Room E1
(35 pax)</t>
  </si>
  <si>
    <t xml:space="preserve">Room E2
(30 pax)</t>
  </si>
  <si>
    <t xml:space="preserve">Room F1
(25 pax)</t>
  </si>
  <si>
    <t xml:space="preserve">Boardroom G
(15 pax)</t>
  </si>
  <si>
    <t xml:space="preserve">Terrace
(60 pax)</t>
  </si>
  <si>
    <t xml:space="preserve">Primary</t>
  </si>
  <si>
    <t xml:space="preserve">Backup</t>
  </si>
  <si>
    <t xml:space="preserve">LEGEND:  ■ Available (reserved, no session)  |  ■ Booked (session assigned)  |  ■ Not Reserved  |  ■ CONFLICT (session in unreserved slot)</t>
  </si>
  <si>
    <t xml:space="preserve">Run macro: Alt+F8 → RefreshRoomManagement → Run. Updates from RoomDB (availability) and SessionDB (bookings).</t>
  </si>
  <si>
    <t xml:space="preserve">WORKSHOP PROGRAM 2026 (AGENDA | TIMETABLE)</t>
  </si>
  <si>
    <t xml:space="preserve">23 Mar (Mon)</t>
  </si>
  <si>
    <t xml:space="preserve">24 Mar (Tue)</t>
  </si>
  <si>
    <t xml:space="preserve">25 Mar (Wed)</t>
  </si>
  <si>
    <t xml:space="preserve">26 Mar (Thu)</t>
  </si>
  <si>
    <t xml:space="preserve">27 Mar (Fri)</t>
  </si>
  <si>
    <t xml:space="preserve">Agenda</t>
  </si>
  <si>
    <t xml:space="preserve">Speaker</t>
  </si>
  <si>
    <t xml:space="preserve">Track(s)</t>
  </si>
  <si>
    <t xml:space="preserve">Sessions</t>
  </si>
  <si>
    <t xml:space="preserve">Room(s)</t>
  </si>
  <si>
    <t xml:space="preserve">Days</t>
  </si>
  <si>
    <t xml:space="preserve">Stakeholder Alignment; Emotional Intelligence; Cross-Team Collaboration</t>
  </si>
  <si>
    <t xml:space="preserve">1, 2, 3, 4</t>
  </si>
  <si>
    <t xml:space="preserve">Operations, Technical</t>
  </si>
  <si>
    <t xml:space="preserve">Security Fundamentals; Incident Response; Code Review Culture</t>
  </si>
  <si>
    <t xml:space="preserve">2, 3, 4</t>
  </si>
  <si>
    <t xml:space="preserve">Prototyping Sprint; Accessibility Workshop; Data Visualization</t>
  </si>
  <si>
    <t xml:space="preserve">1, 2, 4, 5</t>
  </si>
  <si>
    <t xml:space="preserve">Cloud Infrastructure; Performance Testing; System Architecture</t>
  </si>
  <si>
    <t xml:space="preserve">Opening Keynote; Midweek Keynote; Closing Keynote &amp; Awards</t>
  </si>
  <si>
    <t xml:space="preserve">1, 3, 5</t>
  </si>
  <si>
    <t xml:space="preserve">Lean Process Improvement; Capacity Planning; Change Management</t>
  </si>
  <si>
    <t xml:space="preserve">Empathy Mapping 101; Service Blueprinting; Workshop Facilitation</t>
  </si>
  <si>
    <t xml:space="preserve">1, 3, 4</t>
  </si>
  <si>
    <t xml:space="preserve">Leading Through Change; Conflict Resolution; Coaching Skills</t>
  </si>
  <si>
    <t xml:space="preserve">Risk Assessment; Vendor Management; Process Automation</t>
  </si>
  <si>
    <t xml:space="preserve">1, 2, 4</t>
  </si>
  <si>
    <t xml:space="preserve">API Design Patterns; DevOps Practices; Testing Strategies</t>
  </si>
  <si>
    <t xml:space="preserve">Agile Ceremonies; Budget Forecasting; KPI Dashboards</t>
  </si>
  <si>
    <t xml:space="preserve">Feedback Culture; Strategic Planning; Presentation Mastery</t>
  </si>
  <si>
    <t xml:space="preserve">Data Pipeline Design; AI/ML Integration</t>
  </si>
  <si>
    <t xml:space="preserve">1, 3</t>
  </si>
  <si>
    <t xml:space="preserve">Design Systems; User Research Methods; Design Critiques</t>
  </si>
  <si>
    <t xml:space="preserve">2, 4</t>
  </si>
  <si>
    <t xml:space="preserve">WORKSHOP TIMETABLE v4 — AUTO-UPDATING GUIDE</t>
  </si>
  <si>
    <t xml:space="preserve">HOW IT WORKS</t>
  </si>
  <si>
    <t xml:space="preserve">The Day 1–5 sheets pull session data live from the SessionDB sheet using INDEX/MATCH array formulas.</t>
  </si>
  <si>
    <t xml:space="preserve">When you edit SessionDB (title, speaker, room, time, track), the Day sheets update instantly.</t>
  </si>
  <si>
    <t xml:space="preserve">EXCEL VERSION COMPATIBILITY</t>
  </si>
  <si>
    <t xml:space="preserve">Excel 365 / Excel 2021: Formulas work automatically. No extra steps needed.</t>
  </si>
  <si>
    <t xml:space="preserve">Excel 2019 / 2016: You must activate array formulas manually. Select all formula cells (B4:E23 on any Day sheet), press F2, then press Ctrl+Shift+Enter. You will see curly braces {} around the formula in the formula bar. You only need to do this once per sheet.</t>
  </si>
  <si>
    <t xml:space="preserve">Excel Online / SharePoint: Array formulas with MATCH(1,...,0) may not calculate. Use the VBA macro approach instead (see below).</t>
  </si>
  <si>
    <t xml:space="preserve">HOW TO EDIT SESSIONS</t>
  </si>
  <si>
    <t xml:space="preserve">1. Go to SessionDB sheet.</t>
  </si>
  <si>
    <t xml:space="preserve">2. Edit any value: title, speaker, room, start time, end time, track.</t>
  </si>
  <si>
    <t xml:space="preserve">3. Switch to the Day sheet — the change is already there.</t>
  </si>
  <si>
    <t xml:space="preserve">4. To ADD a session: insert a row, fill Day (number 1–5), Start/End (text like 09:00), Title, Speaker, Room, Type, Track.</t>
  </si>
  <si>
    <t xml:space="preserve">5. To REMOVE: delete the row from SessionDB.</t>
  </si>
  <si>
    <t xml:space="preserve">6. To MOVE to a different time or track: change the Start, End, or Track columns.</t>
  </si>
  <si>
    <t xml:space="preserve">DATA FORMAT RULES</t>
  </si>
  <si>
    <t xml:space="preserve">Times MUST be text: type a leading apostrophe before the time, like '09:00. If Excel converts it to a time number, the formulas break. To fix: select the column → Format Cells → Text, then retype the times.</t>
  </si>
  <si>
    <t xml:space="preserve">Track (column I) must exactly match: Leadership, Technical, Design Thinking, Operations, or all.</t>
  </si>
  <si>
    <t xml:space="preserve">Type (column H) must exactly match: Leadership, Technical, Design Thinking, Operations, Keynote, or Break.</t>
  </si>
  <si>
    <t xml:space="preserve">VBA MACRO ALTERNATIVE (RECOMMENDED FOR VISUAL OUTPUT)</t>
  </si>
  <si>
    <t xml:space="preserve">For merged-cell visual timetables (like the original static version), use the VBA macro.</t>
  </si>
  <si>
    <t xml:space="preserve">1. Save As → .xlsm (Macro-Enabled Workbook).</t>
  </si>
  <si>
    <t xml:space="preserve">2. Press Alt+F11 → Insert → Module → paste the macro code from workshop-refresh-macro.bas.</t>
  </si>
  <si>
    <t xml:space="preserve">3. Press Alt+F8 → RefreshAllDays → Run.</t>
  </si>
  <si>
    <t xml:space="preserve">4. All Day sheets rebuild with merged cells, color borders, and full formatting.</t>
  </si>
  <si>
    <t xml:space="preserve">NOTE: Rename the SessionDB tab back to 'Session Database' if using the VBA macro (the macro references that name).</t>
  </si>
  <si>
    <t xml:space="preserve">UNDERSTANDING THE DAY SHEET DISPLAY</t>
  </si>
  <si>
    <t xml:space="preserve">Session starts at this time → Shows: Title + Speaker • Room</t>
  </si>
  <si>
    <t xml:space="preserve">Session ongoing (started earlier) → Shows: ↓ Title (continuation marker)</t>
  </si>
  <si>
    <t xml:space="preserve">No session → Cell is blank</t>
  </si>
  <si>
    <t xml:space="preserve">Colors are automatic via conditional formatting based on the session Type.</t>
  </si>
  <si>
    <t xml:space="preserve">TROUBLESHOOTING BLANK CELLS</t>
  </si>
  <si>
    <t xml:space="preserve">If Day sheets show blank cells:</t>
  </si>
  <si>
    <t xml:space="preserve">1. Check that times in SessionDB column C and D are TEXT, not time-formatted numbers. The formula bar should show 09:00 not 0.375.</t>
  </si>
  <si>
    <t xml:space="preserve">2. In Excel 2019 or earlier: select B4:E23 → F2 → Ctrl+Shift+Enter to array-enter.</t>
  </si>
  <si>
    <t xml:space="preserve">3. Verify Track names match exactly (case-sensitive in some formulas).</t>
  </si>
  <si>
    <t xml:space="preserve">4. If nothing works: use the VBA macro approach — it bypasses all formula issues.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</si>
</sst>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0"/>
    <numFmt numFmtId="167" formatCode="0.0%"/>
    <numFmt numFmtId="168" formatCode="0.0"/>
  </numFmts>
  <fonts count="53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color rgb="FFFFFFFF"/>
      <name val="Arial"/>
      <family val="0"/>
      <charset val="1"/>
    </font>
    <font>
      <b val="true"/>
      <sz val="8"/>
      <color rgb="FFFFFFFF"/>
      <name val="Arial"/>
      <family val="0"/>
      <charset val="1"/>
    </font>
    <font>
      <sz val="10"/>
      <color rgb="FF1E293B"/>
      <name val="Arial"/>
      <family val="0"/>
      <charset val="1"/>
    </font>
    <font>
      <b val="true"/>
      <sz val="10"/>
      <color rgb="FF0000FF"/>
      <name val="Arial"/>
      <family val="0"/>
      <charset val="1"/>
    </font>
    <font>
      <b val="true"/>
      <sz val="9"/>
      <name val="Arial"/>
      <family val="0"/>
      <charset val="1"/>
    </font>
    <font>
      <b val="true"/>
      <sz val="10"/>
      <color rgb="FF1E40AF"/>
      <name val="Arial"/>
      <family val="0"/>
      <charset val="1"/>
    </font>
    <font>
      <b val="true"/>
      <sz val="10"/>
      <color rgb="FF166534"/>
      <name val="Arial"/>
      <family val="0"/>
      <charset val="1"/>
    </font>
    <font>
      <b val="true"/>
      <sz val="10"/>
      <color rgb="FF5B21B6"/>
      <name val="Arial"/>
      <family val="0"/>
      <charset val="1"/>
    </font>
    <font>
      <b val="true"/>
      <sz val="10"/>
      <color rgb="FF9A3412"/>
      <name val="Arial"/>
      <family val="0"/>
      <charset val="1"/>
    </font>
    <font>
      <sz val="10"/>
      <color rgb="FF0000FF"/>
      <name val="Arial"/>
      <family val="0"/>
      <charset val="1"/>
    </font>
    <font>
      <b val="true"/>
      <sz val="10"/>
      <color rgb="FF065F46"/>
      <name val="Arial"/>
      <family val="0"/>
      <charset val="1"/>
    </font>
    <font>
      <b val="true"/>
      <sz val="10"/>
      <color rgb="FF991B1B"/>
      <name val="Arial"/>
      <family val="0"/>
      <charset val="1"/>
    </font>
    <font>
      <b val="true"/>
      <sz val="16"/>
      <color rgb="FFFFFFFF"/>
      <name val="Arial"/>
      <family val="0"/>
      <charset val="1"/>
    </font>
    <font>
      <b val="true"/>
      <sz val="13"/>
      <color rgb="FFFFFFFF"/>
      <name val="Arial"/>
      <family val="0"/>
      <charset val="1"/>
    </font>
    <font>
      <b val="true"/>
      <sz val="10"/>
      <color rgb="FF1E293B"/>
      <name val="Arial"/>
      <family val="0"/>
      <charset val="1"/>
    </font>
    <font>
      <b val="true"/>
      <sz val="11"/>
      <color rgb="FF1B3A5F"/>
      <name val="Arial"/>
      <family val="0"/>
      <charset val="1"/>
    </font>
    <font>
      <b val="true"/>
      <sz val="14"/>
      <color rgb="FFFFFFFF"/>
      <name val="Arial"/>
      <family val="0"/>
      <charset val="1"/>
    </font>
    <font>
      <b val="true"/>
      <sz val="11"/>
      <color rgb="FFFFFFFF"/>
      <name val="Arial"/>
      <family val="0"/>
      <charset val="1"/>
    </font>
    <font>
      <b val="true"/>
      <sz val="9"/>
      <color rgb="FFFFFFFF"/>
      <name val="Arial"/>
      <family val="0"/>
      <charset val="1"/>
    </font>
    <font>
      <b val="true"/>
      <sz val="7"/>
      <color rgb="FFFFFFFF"/>
      <name val="Arial"/>
      <family val="0"/>
      <charset val="1"/>
    </font>
    <font>
      <b val="true"/>
      <sz val="9"/>
      <color rgb="FF1E293B"/>
      <name val="Arial"/>
      <family val="0"/>
      <charset val="1"/>
    </font>
    <font>
      <b val="true"/>
      <sz val="8"/>
      <color rgb="FF166534"/>
      <name val="Arial"/>
      <family val="0"/>
      <charset val="1"/>
    </font>
    <font>
      <sz val="8"/>
      <name val="Arial"/>
      <family val="0"/>
      <charset val="1"/>
    </font>
    <font>
      <b val="true"/>
      <sz val="8"/>
      <color rgb="FF9A3412"/>
      <name val="Arial"/>
      <family val="0"/>
      <charset val="1"/>
    </font>
    <font>
      <b val="true"/>
      <sz val="9"/>
      <color rgb="FF64748B"/>
      <name val="Arial"/>
      <family val="0"/>
      <charset val="1"/>
    </font>
    <font>
      <sz val="8"/>
      <color rgb="FF1E293B"/>
      <name val="Arial"/>
      <family val="0"/>
      <charset val="1"/>
    </font>
    <font>
      <sz val="9"/>
      <color rgb="FF64748B"/>
      <name val="Arial"/>
      <family val="0"/>
      <charset val="1"/>
    </font>
    <font>
      <i val="true"/>
      <sz val="9"/>
      <color rgb="FF64748B"/>
      <name val="Arial"/>
      <family val="0"/>
      <charset val="1"/>
    </font>
    <font>
      <b val="true"/>
      <sz val="8"/>
      <color rgb="FF64748B"/>
      <name val="Arial"/>
      <family val="0"/>
      <charset val="1"/>
    </font>
    <font>
      <sz val="8"/>
      <color rgb="FF64748B"/>
      <name val="Arial"/>
      <family val="0"/>
      <charset val="1"/>
    </font>
    <font>
      <b val="true"/>
      <sz val="9"/>
      <color rgb="FF5D4037"/>
      <name val="Arial"/>
      <family val="0"/>
      <charset val="1"/>
    </font>
    <font>
      <b val="true"/>
      <sz val="8"/>
      <color rgb="FF1E3A5F"/>
      <name val="Arial"/>
      <family val="0"/>
      <charset val="1"/>
    </font>
    <font>
      <sz val="8"/>
      <color rgb="FF1E3A5F"/>
      <name val="Arial"/>
      <family val="0"/>
      <charset val="1"/>
    </font>
    <font>
      <b val="true"/>
      <sz val="8"/>
      <color rgb="FF4A1D96"/>
      <name val="Arial"/>
      <family val="0"/>
      <charset val="1"/>
    </font>
    <font>
      <sz val="8"/>
      <color rgb="FF4A1D96"/>
      <name val="Arial"/>
      <family val="0"/>
      <charset val="1"/>
    </font>
    <font>
      <b val="true"/>
      <sz val="8"/>
      <color rgb="FF065F46"/>
      <name val="Arial"/>
      <family val="0"/>
      <charset val="1"/>
    </font>
    <font>
      <sz val="8"/>
      <color rgb="FF065F46"/>
      <name val="Arial"/>
      <family val="0"/>
      <charset val="1"/>
    </font>
    <font>
      <b val="true"/>
      <sz val="8"/>
      <color rgb="FF7F1D1D"/>
      <name val="Arial"/>
      <family val="0"/>
      <charset val="1"/>
    </font>
    <font>
      <sz val="8"/>
      <color rgb="FF7F1D1D"/>
      <name val="Arial"/>
      <family val="0"/>
      <charset val="1"/>
    </font>
    <font>
      <b val="true"/>
      <sz val="9"/>
      <color rgb="FF546E7A"/>
      <name val="Arial"/>
      <family val="0"/>
      <charset val="1"/>
    </font>
    <font>
      <b val="true"/>
      <sz val="16"/>
      <color rgb="FF1B3A5F"/>
      <name val="Arial"/>
      <family val="0"/>
      <charset val="1"/>
    </font>
    <font>
      <b val="true"/>
      <sz val="14"/>
      <color rgb="FF1B3A5F"/>
      <name val="Arial"/>
      <family val="0"/>
      <charset val="1"/>
    </font>
    <font>
      <sz val="11"/>
      <color rgb="FF1E293B"/>
      <name val="Arial"/>
      <family val="0"/>
      <charset val="1"/>
    </font>
    <font>
      <b val="true"/>
      <sz val="14"/>
      <color rgb="FFDC2626"/>
      <name val="Arial"/>
      <family val="0"/>
      <charset val="1"/>
    </font>
    <font>
      <sz val="11"/>
      <color rgb="FF166534"/>
      <name val="Arial"/>
      <family val="0"/>
      <charset val="1"/>
    </font>
    <font>
      <sz val="11"/>
      <color rgb="FF991B1B"/>
      <name val="Arial"/>
      <family val="0"/>
      <charset val="1"/>
    </font>
    <font>
      <b val="true"/>
      <sz val="13"/>
      <color rgb="FF1B3A5F"/>
      <name val="Arial"/>
      <family val="0"/>
      <charset val="1"/>
    </font>
    <font>
      <b val="true"/>
      <sz val="13"/>
      <color rgb="FFDC2626"/>
      <name val="Arial"/>
      <family val="0"/>
      <charset val="1"/>
    </font>
    <font>
      <sz val="10"/>
      <color rgb="FF991B1B"/>
      <name val="Arial"/>
      <family val="0"/>
      <charset val="1"/>
    </font>
  </fonts>
  <fills count="30">
    <fill>
      <patternFill patternType="none"/>
    </fill>
    <fill>
      <patternFill patternType="gray125"/>
    </fill>
    <fill>
      <patternFill patternType="solid">
        <fgColor rgb="FF1B3A5F"/>
        <bgColor rgb="FF1E3A5F"/>
      </patternFill>
    </fill>
    <fill>
      <patternFill patternType="solid">
        <fgColor rgb="FF991B1B"/>
        <bgColor rgb="FF7F1D1D"/>
      </patternFill>
    </fill>
    <fill>
      <patternFill patternType="solid">
        <fgColor rgb="FFF2F4F7"/>
        <bgColor rgb="FFF0F1F3"/>
      </patternFill>
    </fill>
    <fill>
      <patternFill patternType="solid">
        <fgColor rgb="FF2563EB"/>
        <bgColor rgb="FF1E40AF"/>
      </patternFill>
    </fill>
    <fill>
      <patternFill patternType="solid">
        <fgColor rgb="FFDBEAFE"/>
        <bgColor rgb="FFE2E8F0"/>
      </patternFill>
    </fill>
    <fill>
      <patternFill patternType="solid">
        <fgColor rgb="FFDCFCE7"/>
        <bgColor rgb="FFD1FAE5"/>
      </patternFill>
    </fill>
    <fill>
      <patternFill patternType="solid">
        <fgColor rgb="FFEDE9FE"/>
        <bgColor rgb="FFECEFF1"/>
      </patternFill>
    </fill>
    <fill>
      <patternFill patternType="solid">
        <fgColor rgb="FFFFEDD5"/>
        <bgColor rgb="FFFEF3C7"/>
      </patternFill>
    </fill>
    <fill>
      <patternFill patternType="solid">
        <fgColor rgb="FFCCFBF1"/>
        <bgColor rgb="FFD1FAE5"/>
      </patternFill>
    </fill>
    <fill>
      <patternFill patternType="solid">
        <fgColor rgb="FFFEE2E2"/>
        <bgColor rgb="FFFCE4EC"/>
      </patternFill>
    </fill>
    <fill>
      <patternFill patternType="solid">
        <fgColor rgb="FFDC2626"/>
        <bgColor rgb="FFBE123C"/>
      </patternFill>
    </fill>
    <fill>
      <patternFill patternType="solid">
        <fgColor rgb="FF7C3AED"/>
        <bgColor rgb="FF6D28D9"/>
      </patternFill>
    </fill>
    <fill>
      <patternFill patternType="solid">
        <fgColor rgb="FF0D9488"/>
        <bgColor rgb="FF339966"/>
      </patternFill>
    </fill>
    <fill>
      <patternFill patternType="solid">
        <fgColor rgb="FF2D3748"/>
        <bgColor rgb="FF2E4057"/>
      </patternFill>
    </fill>
    <fill>
      <patternFill patternType="solid">
        <fgColor rgb="FF475569"/>
        <bgColor rgb="FF546E7A"/>
      </patternFill>
    </fill>
    <fill>
      <patternFill patternType="solid">
        <fgColor rgb="FFF0F1F3"/>
        <bgColor rgb="FFECEFF1"/>
      </patternFill>
    </fill>
    <fill>
      <patternFill patternType="solid">
        <fgColor rgb="FFFEF3C7"/>
        <bgColor rgb="FFFFEDD5"/>
      </patternFill>
    </fill>
    <fill>
      <patternFill patternType="solid">
        <fgColor rgb="FFE2E8F0"/>
        <bgColor rgb="FFDBEAFE"/>
      </patternFill>
    </fill>
    <fill>
      <patternFill patternType="solid">
        <fgColor rgb="FFFFFFFF"/>
        <bgColor rgb="FFFFF8E1"/>
      </patternFill>
    </fill>
    <fill>
      <patternFill patternType="solid">
        <fgColor rgb="FF2E4057"/>
        <bgColor rgb="FF2D3748"/>
      </patternFill>
    </fill>
    <fill>
      <patternFill patternType="solid">
        <fgColor rgb="FF6D28D9"/>
        <bgColor rgb="FF5B21B6"/>
      </patternFill>
    </fill>
    <fill>
      <patternFill patternType="solid">
        <fgColor rgb="FFBE123C"/>
        <bgColor rgb="FFDC2626"/>
      </patternFill>
    </fill>
    <fill>
      <patternFill patternType="solid">
        <fgColor rgb="FFFFF8E1"/>
        <bgColor rgb="FFFFEDD5"/>
      </patternFill>
    </fill>
    <fill>
      <patternFill patternType="solid">
        <fgColor rgb="FFD6E4F0"/>
        <bgColor rgb="FFDBEAFE"/>
      </patternFill>
    </fill>
    <fill>
      <patternFill patternType="solid">
        <fgColor rgb="FFE8E0F0"/>
        <bgColor rgb="FFE2E8F0"/>
      </patternFill>
    </fill>
    <fill>
      <patternFill patternType="solid">
        <fgColor rgb="FFD1FAE5"/>
        <bgColor rgb="FFCCFBF1"/>
      </patternFill>
    </fill>
    <fill>
      <patternFill patternType="solid">
        <fgColor rgb="FFFCE4EC"/>
        <bgColor rgb="FFFEE2E2"/>
      </patternFill>
    </fill>
    <fill>
      <patternFill patternType="solid">
        <fgColor rgb="FFECEFF1"/>
        <bgColor rgb="FFF0F1F3"/>
      </patternFill>
    </fill>
  </fills>
  <borders count="15">
    <border diagonalUp="false" diagonalDown="false">
      <left/>
      <right/>
      <top/>
      <bottom/>
      <diagonal/>
    </border>
    <border diagonalUp="false" diagonalDown="false">
      <left style="thin">
        <color rgb="FFD0D5DD"/>
      </left>
      <right style="thin">
        <color rgb="FFD0D5DD"/>
      </right>
      <top style="thin">
        <color rgb="FFD0D5DD"/>
      </top>
      <bottom style="thin">
        <color rgb="FFD0D5DD"/>
      </bottom>
      <diagonal/>
    </border>
    <border diagonalUp="false" diagonalDown="false">
      <left style="thin">
        <color rgb="FF90A4AE"/>
      </left>
      <right style="thin">
        <color rgb="FF90A4AE"/>
      </right>
      <top style="thin">
        <color rgb="FF90A4AE"/>
      </top>
      <bottom style="thin">
        <color rgb="FF90A4AE"/>
      </bottom>
      <diagonal/>
    </border>
    <border diagonalUp="false" diagonalDown="false">
      <left style="thin">
        <color rgb="FF90A4AE"/>
      </left>
      <right style="thin">
        <color rgb="FF90A4AE"/>
      </right>
      <top style="medium">
        <color rgb="FF1B3A5F"/>
      </top>
      <bottom style="thin">
        <color rgb="FF90A4AE"/>
      </bottom>
      <diagonal/>
    </border>
    <border diagonalUp="false" diagonalDown="false">
      <left style="thin">
        <color rgb="FF90A4AE"/>
      </left>
      <right style="thin">
        <color rgb="FF90A4AE"/>
      </right>
      <top style="hair">
        <color rgb="FFCFD8DC"/>
      </top>
      <bottom style="hair">
        <color rgb="FFCFD8DC"/>
      </bottom>
      <diagonal/>
    </border>
    <border diagonalUp="false" diagonalDown="false">
      <left style="medium">
        <color rgb="FFD97706"/>
      </left>
      <right style="medium">
        <color rgb="FFD97706"/>
      </right>
      <top style="thin">
        <color rgb="FFD97706"/>
      </top>
      <bottom style="thin">
        <color rgb="FFD97706"/>
      </bottom>
      <diagonal/>
    </border>
    <border diagonalUp="false" diagonalDown="false">
      <left style="medium">
        <color rgb="FF2563EB"/>
      </left>
      <right style="thin">
        <color rgb="FF2563EB"/>
      </right>
      <top style="thin">
        <color rgb="FF2563EB"/>
      </top>
      <bottom style="thin">
        <color rgb="FF2563EB"/>
      </bottom>
      <diagonal/>
    </border>
    <border diagonalUp="false" diagonalDown="false">
      <left style="thin">
        <color rgb="FF2563EB"/>
      </left>
      <right style="medium">
        <color rgb="FF2563EB"/>
      </right>
      <top style="thin">
        <color rgb="FF2563EB"/>
      </top>
      <bottom style="thin">
        <color rgb="FF2563EB"/>
      </bottom>
      <diagonal/>
    </border>
    <border diagonalUp="false" diagonalDown="false">
      <left style="medium">
        <color rgb="FF6D28D9"/>
      </left>
      <right style="thin">
        <color rgb="FF6D28D9"/>
      </right>
      <top style="thin">
        <color rgb="FF6D28D9"/>
      </top>
      <bottom style="thin">
        <color rgb="FF6D28D9"/>
      </bottom>
      <diagonal/>
    </border>
    <border diagonalUp="false" diagonalDown="false">
      <left style="thin">
        <color rgb="FF6D28D9"/>
      </left>
      <right style="medium">
        <color rgb="FF6D28D9"/>
      </right>
      <top style="thin">
        <color rgb="FF6D28D9"/>
      </top>
      <bottom style="thin">
        <color rgb="FF6D28D9"/>
      </bottom>
      <diagonal/>
    </border>
    <border diagonalUp="false" diagonalDown="false">
      <left style="medium">
        <color rgb="FF0D9488"/>
      </left>
      <right style="thin">
        <color rgb="FF0D9488"/>
      </right>
      <top style="thin">
        <color rgb="FF0D9488"/>
      </top>
      <bottom style="thin">
        <color rgb="FF0D9488"/>
      </bottom>
      <diagonal/>
    </border>
    <border diagonalUp="false" diagonalDown="false">
      <left style="thin">
        <color rgb="FF0D9488"/>
      </left>
      <right style="medium">
        <color rgb="FF0D9488"/>
      </right>
      <top style="thin">
        <color rgb="FF0D9488"/>
      </top>
      <bottom style="thin">
        <color rgb="FF0D9488"/>
      </bottom>
      <diagonal/>
    </border>
    <border diagonalUp="false" diagonalDown="false">
      <left style="medium">
        <color rgb="FFBE123C"/>
      </left>
      <right style="thin">
        <color rgb="FFBE123C"/>
      </right>
      <top style="thin">
        <color rgb="FFBE123C"/>
      </top>
      <bottom style="thin">
        <color rgb="FFBE123C"/>
      </bottom>
      <diagonal/>
    </border>
    <border diagonalUp="false" diagonalDown="false">
      <left style="thin">
        <color rgb="FFBE123C"/>
      </left>
      <right style="medium">
        <color rgb="FFBE123C"/>
      </right>
      <top style="thin">
        <color rgb="FFBE123C"/>
      </top>
      <bottom style="thin">
        <color rgb="FFBE123C"/>
      </bottom>
      <diagonal/>
    </border>
    <border diagonalUp="false" diagonalDown="false">
      <left style="medium">
        <color rgb="FF90A4AE"/>
      </left>
      <right style="medium">
        <color rgb="FF90A4AE"/>
      </right>
      <top style="thin">
        <color rgb="FF90A4AE"/>
      </top>
      <bottom style="thin">
        <color rgb="FF90A4AE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3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6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4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6" fillId="4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6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6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4" fillId="1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3" fillId="4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5" fillId="11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7" fillId="12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8" fillId="4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19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19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9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5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8" fontId="19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13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7" fillId="14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20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15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22" fillId="1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17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6" fillId="17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17" borderId="2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8" fillId="0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3" fillId="1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18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4" fillId="1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7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17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4" fillId="17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0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19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1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5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12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17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9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4" fillId="18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8" fillId="18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0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2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30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24" fillId="17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8" fillId="17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1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21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2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21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1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14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2" fillId="17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3" fillId="17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24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5" fillId="25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6" fillId="25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7" fillId="26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8" fillId="26" borderId="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9" fillId="27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0" fillId="27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1" fillId="28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2" fillId="28" borderId="1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3" fillId="29" borderId="1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1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4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4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44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45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46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47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48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49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5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51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52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6">
    <dxf>
      <fill>
        <patternFill patternType="solid">
          <fgColor rgb="FF1B3A5F"/>
          <bgColor rgb="FF000000"/>
        </patternFill>
      </fill>
    </dxf>
    <dxf>
      <fill>
        <patternFill patternType="solid">
          <fgColor rgb="FFF2F4F7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1E293B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FEE2E2"/>
          <bgColor rgb="FF000000"/>
        </patternFill>
      </fill>
    </dxf>
    <dxf>
      <fill>
        <patternFill patternType="solid">
          <fgColor rgb="FF991B1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ont>
        <b val="1"/>
        <color rgb="FF991B1B"/>
      </font>
      <fill>
        <patternFill>
          <bgColor rgb="FFFEE2E2"/>
        </patternFill>
      </fill>
    </dxf>
    <dxf>
      <font>
        <b val="1"/>
        <color rgb="FF166534"/>
      </font>
      <fill>
        <patternFill>
          <bgColor rgb="FFDCFCE7"/>
        </patternFill>
      </fill>
    </dxf>
    <dxf>
      <fill>
        <patternFill patternType="solid">
          <fgColor rgb="FF2563EB"/>
          <bgColor rgb="FF000000"/>
        </patternFill>
      </fill>
    </dxf>
    <dxf>
      <fill>
        <patternFill patternType="solid">
          <fgColor rgb="FFCCFBF1"/>
          <bgColor rgb="FF000000"/>
        </patternFill>
      </fill>
    </dxf>
    <dxf>
      <fill>
        <patternFill patternType="solid">
          <fgColor rgb="FFDBEAFE"/>
          <bgColor rgb="FF000000"/>
        </patternFill>
      </fill>
    </dxf>
    <dxf>
      <fill>
        <patternFill patternType="solid">
          <fgColor rgb="FFEDE9FE"/>
          <bgColor rgb="FF000000"/>
        </patternFill>
      </fill>
    </dxf>
    <dxf>
      <fill>
        <patternFill patternType="solid">
          <fgColor rgb="FF065F46"/>
          <bgColor rgb="FF000000"/>
        </patternFill>
      </fill>
    </dxf>
    <dxf>
      <fill>
        <patternFill patternType="solid">
          <fgColor rgb="FF1E40AF"/>
          <bgColor rgb="FF000000"/>
        </patternFill>
      </fill>
    </dxf>
    <dxf>
      <fill>
        <patternFill patternType="solid">
          <fgColor rgb="FF5B21B6"/>
          <bgColor rgb="FF000000"/>
        </patternFill>
      </fill>
    </dxf>
    <dxf>
      <fill>
        <patternFill patternType="solid">
          <fgColor rgb="FFDCFCE7"/>
          <bgColor rgb="FF000000"/>
        </patternFill>
      </fill>
    </dxf>
    <dxf>
      <fill>
        <patternFill patternType="solid">
          <fgColor rgb="FFFFEDD5"/>
          <bgColor rgb="FF000000"/>
        </patternFill>
      </fill>
    </dxf>
    <dxf>
      <fill>
        <patternFill patternType="solid">
          <fgColor rgb="FF166534"/>
          <bgColor rgb="FF000000"/>
        </patternFill>
      </fill>
    </dxf>
    <dxf>
      <fill>
        <patternFill patternType="solid">
          <fgColor rgb="FF9A3412"/>
          <bgColor rgb="FF000000"/>
        </patternFill>
      </fill>
    </dxf>
    <dxf>
      <font>
        <b val="1"/>
        <color rgb="FF166534"/>
      </font>
      <fill>
        <patternFill>
          <bgColor rgb="FFDCFCE7"/>
        </patternFill>
      </fill>
    </dxf>
    <dxf>
      <font>
        <b val="1"/>
        <color rgb="FF991B1B"/>
      </font>
      <fill>
        <patternFill>
          <bgColor rgb="FFFEE2E2"/>
        </patternFill>
      </fill>
    </dxf>
    <dxf>
      <font>
        <b val="1"/>
        <color rgb="FF9A3412"/>
      </font>
      <fill>
        <patternFill>
          <bgColor rgb="FFFFEDD5"/>
        </patternFill>
      </fill>
    </dxf>
    <dxf>
      <font>
        <b val="1"/>
        <color rgb="FF166534"/>
        <sz val="8"/>
      </font>
      <fill>
        <patternFill>
          <bgColor rgb="FFDCFCE7"/>
        </patternFill>
      </fill>
    </dxf>
    <dxf>
      <fill>
        <patternFill patternType="solid">
          <fgColor rgb="FF0D9488"/>
          <bgColor rgb="FF000000"/>
        </patternFill>
      </fill>
    </dxf>
  </dxfs>
  <colors>
    <indexedColors>
      <rgbColor rgb="FF000000"/>
      <rgbColor rgb="FFFFFFFF"/>
      <rgbColor rgb="FFDC2626"/>
      <rgbColor rgb="FF00FF00"/>
      <rgbColor rgb="FF0000FF"/>
      <rgbColor rgb="FFFFEDD5"/>
      <rgbColor rgb="FFFF00FF"/>
      <rgbColor rgb="FF00FFFF"/>
      <rgbColor rgb="FF7F1D1D"/>
      <rgbColor rgb="FF166534"/>
      <rgbColor rgb="FF2E4057"/>
      <rgbColor rgb="FF808000"/>
      <rgbColor rgb="FF5B21B6"/>
      <rgbColor rgb="FF0D9488"/>
      <rgbColor rgb="FFCFD8DC"/>
      <rgbColor rgb="FF546E7A"/>
      <rgbColor rgb="FFDBEAFE"/>
      <rgbColor rgb="FFBE123C"/>
      <rgbColor rgb="FFFFF8E1"/>
      <rgbColor rgb="FFCCFBF1"/>
      <rgbColor rgb="FF4A1D96"/>
      <rgbColor rgb="FFEDE9FE"/>
      <rgbColor rgb="FF475569"/>
      <rgbColor rgb="FFD0D5DD"/>
      <rgbColor rgb="FF000080"/>
      <rgbColor rgb="FFFF00FF"/>
      <rgbColor rgb="FFECEFF1"/>
      <rgbColor rgb="FF00FFFF"/>
      <rgbColor rgb="FF6D28D9"/>
      <rgbColor rgb="FF991B1B"/>
      <rgbColor rgb="FF065F46"/>
      <rgbColor rgb="FF7C3AED"/>
      <rgbColor rgb="FF00CCFF"/>
      <rgbColor rgb="FFDCFCE7"/>
      <rgbColor rgb="FFD1FAE5"/>
      <rgbColor rgb="FFFEF3C7"/>
      <rgbColor rgb="FFD6E4F0"/>
      <rgbColor rgb="FFFCE4EC"/>
      <rgbColor rgb="FFE8E0F0"/>
      <rgbColor rgb="FFFEE2E2"/>
      <rgbColor rgb="FF2563EB"/>
      <rgbColor rgb="FF33CCCC"/>
      <rgbColor rgb="FFF0F1F3"/>
      <rgbColor rgb="FFE2E8F0"/>
      <rgbColor rgb="FFF2F4F7"/>
      <rgbColor rgb="FFD97706"/>
      <rgbColor rgb="FF64748B"/>
      <rgbColor rgb="FF90A4AE"/>
      <rgbColor rgb="FF1B3A5F"/>
      <rgbColor rgb="FF339966"/>
      <rgbColor rgb="FF1E3A5F"/>
      <rgbColor rgb="FF1E293B"/>
      <rgbColor rgb="FF9A3412"/>
      <rgbColor rgb="FF5D4037"/>
      <rgbColor rgb="FF1E40AF"/>
      <rgbColor rgb="FF2D3748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B3A5F"/>
    <pageSetUpPr fitToPage="false"/>
  </sheetPr>
  <dimension ref="A1:S6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4" ySplit="1" topLeftCell="E2" activePane="bottomRight" state="frozen"/>
      <selection pane="topLeft" activeCell="A1" activeCellId="0" sqref="A1"/>
      <selection pane="topRight" activeCell="E1" activeCellId="0" sqref="E1"/>
      <selection pane="bottomLeft" activeCell="A2" activeCellId="0" sqref="A2"/>
      <selection pane="bottomRigh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1" width="5"/>
    <col collapsed="false" customWidth="true" hidden="false" outlineLevel="0" max="2" min="2" style="1" width="6"/>
    <col collapsed="false" customWidth="true" hidden="false" outlineLevel="0" max="4" min="3" style="1" width="8"/>
    <col collapsed="false" customWidth="true" hidden="false" outlineLevel="0" max="5" min="5" style="1" width="32"/>
    <col collapsed="false" customWidth="true" hidden="false" outlineLevel="0" max="6" min="6" style="1" width="20"/>
    <col collapsed="false" customWidth="true" hidden="false" outlineLevel="0" max="7" min="7" style="1" width="14"/>
    <col collapsed="false" customWidth="true" hidden="false" outlineLevel="0" max="9" min="8" style="1" width="15"/>
    <col collapsed="false" customWidth="true" hidden="false" outlineLevel="0" max="11" min="10" style="1" width="12"/>
    <col collapsed="false" customWidth="true" hidden="false" outlineLevel="0" max="12" min="12" style="1" width="11"/>
    <col collapsed="false" customWidth="true" hidden="false" outlineLevel="0" max="13" min="13" style="1" width="9"/>
    <col collapsed="false" customWidth="true" hidden="false" outlineLevel="0" max="14" min="14" style="1" width="12"/>
    <col collapsed="false" customWidth="true" hidden="false" outlineLevel="0" max="15" min="15" style="1" width="15"/>
    <col collapsed="false" customWidth="true" hidden="true" outlineLevel="0" max="18" min="18" style="1" width="13"/>
    <col collapsed="false" customWidth="true" hidden="false" outlineLevel="0" max="19" min="19" style="0" width="10"/>
  </cols>
  <sheetData>
    <row r="1" customFormat="false" ht="30" hidden="false" customHeight="tru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R1" s="1" t="s">
        <v>11</v>
      </c>
      <c r="S1" s="3" t="s">
        <v>12</v>
      </c>
    </row>
    <row r="2" customFormat="false" ht="15" hidden="false" customHeight="true" outlineLevel="0" collapsed="false">
      <c r="A2" s="4" t="n">
        <v>1</v>
      </c>
      <c r="B2" s="4" t="n">
        <v>1</v>
      </c>
      <c r="C2" s="5" t="s">
        <v>13</v>
      </c>
      <c r="D2" s="5" t="s">
        <v>14</v>
      </c>
      <c r="E2" s="6" t="s">
        <v>15</v>
      </c>
      <c r="F2" s="7" t="s">
        <v>16</v>
      </c>
      <c r="G2" s="7" t="s">
        <v>17</v>
      </c>
      <c r="H2" s="7" t="s">
        <v>18</v>
      </c>
      <c r="I2" s="7" t="s">
        <v>19</v>
      </c>
      <c r="J2" s="8" t="n">
        <v>200</v>
      </c>
      <c r="K2" s="8" t="n">
        <v>140</v>
      </c>
      <c r="R2" s="1" t="e">
        <f aca="false">sort(unique(filter(I2:I200,LOWER(I2:I200)&lt;&gt;"all")))</f>
        <v>#NAME?</v>
      </c>
      <c r="S2" s="9" t="str">
        <f aca="false">IF(G2="","",IF(SUMPRODUCT((RoomDB!$A$20:$A$74=G2)*(RoomDB!$B$20:$B$74="D"&amp;B2)*(INDEX(RoomDB!$C$20:$V$74,0,MATCH(C2,RoomDB!$C$19:$V$19,0))="R"))&gt;0,"OK","CONFLICT"))</f>
        <v>OK</v>
      </c>
    </row>
    <row r="3" customFormat="false" ht="15" hidden="false" customHeight="true" outlineLevel="0" collapsed="false">
      <c r="A3" s="10" t="n">
        <v>2</v>
      </c>
      <c r="B3" s="10" t="n">
        <v>1</v>
      </c>
      <c r="C3" s="11" t="s">
        <v>20</v>
      </c>
      <c r="D3" s="11" t="s">
        <v>21</v>
      </c>
      <c r="E3" s="12" t="s">
        <v>22</v>
      </c>
      <c r="F3" s="13" t="s">
        <v>23</v>
      </c>
      <c r="G3" s="13" t="s">
        <v>24</v>
      </c>
      <c r="H3" s="13" t="s">
        <v>25</v>
      </c>
      <c r="I3" s="13" t="s">
        <v>25</v>
      </c>
      <c r="J3" s="8" t="n">
        <v>40</v>
      </c>
      <c r="K3" s="8" t="n">
        <v>28</v>
      </c>
      <c r="S3" s="9" t="str">
        <f aca="false">IF(G3="","",IF(SUMPRODUCT((RoomDB!$A$20:$A$74=G3)*(RoomDB!$B$20:$B$74="D"&amp;B3)*(INDEX(RoomDB!$C$20:$V$74,0,MATCH(C3,RoomDB!$C$19:$V$19,0))="R"))&gt;0,"OK","CONFLICT"))</f>
        <v>OK</v>
      </c>
    </row>
    <row r="4" customFormat="false" ht="15" hidden="false" customHeight="true" outlineLevel="0" collapsed="false">
      <c r="A4" s="4" t="n">
        <v>3</v>
      </c>
      <c r="B4" s="4" t="n">
        <v>1</v>
      </c>
      <c r="C4" s="5" t="s">
        <v>20</v>
      </c>
      <c r="D4" s="5" t="s">
        <v>21</v>
      </c>
      <c r="E4" s="6" t="s">
        <v>26</v>
      </c>
      <c r="F4" s="7" t="s">
        <v>27</v>
      </c>
      <c r="G4" s="7" t="s">
        <v>28</v>
      </c>
      <c r="H4" s="7" t="s">
        <v>29</v>
      </c>
      <c r="I4" s="7" t="s">
        <v>29</v>
      </c>
      <c r="J4" s="8" t="n">
        <v>45</v>
      </c>
      <c r="K4" s="8" t="n">
        <v>31</v>
      </c>
      <c r="S4" s="9" t="str">
        <f aca="false">IF(G4="","",IF(SUMPRODUCT((RoomDB!$A$20:$A$74=G4)*(RoomDB!$B$20:$B$74="D"&amp;B4)*(INDEX(RoomDB!$C$20:$V$74,0,MATCH(C4,RoomDB!$C$19:$V$19,0))="R"))&gt;0,"OK","CONFLICT"))</f>
        <v>OK</v>
      </c>
    </row>
    <row r="5" customFormat="false" ht="15" hidden="false" customHeight="true" outlineLevel="0" collapsed="false">
      <c r="A5" s="10" t="n">
        <v>4</v>
      </c>
      <c r="B5" s="10" t="n">
        <v>1</v>
      </c>
      <c r="C5" s="11" t="s">
        <v>20</v>
      </c>
      <c r="D5" s="11" t="s">
        <v>21</v>
      </c>
      <c r="E5" s="12" t="s">
        <v>30</v>
      </c>
      <c r="F5" s="13" t="s">
        <v>31</v>
      </c>
      <c r="G5" s="13" t="s">
        <v>32</v>
      </c>
      <c r="H5" s="13" t="s">
        <v>33</v>
      </c>
      <c r="I5" s="13" t="s">
        <v>33</v>
      </c>
      <c r="J5" s="8" t="n">
        <v>35</v>
      </c>
      <c r="K5" s="8" t="n">
        <v>24</v>
      </c>
      <c r="S5" s="9" t="str">
        <f aca="false">IF(G5="","",IF(SUMPRODUCT((RoomDB!$A$20:$A$74=G5)*(RoomDB!$B$20:$B$74="D"&amp;B5)*(INDEX(RoomDB!$C$20:$V$74,0,MATCH(C5,RoomDB!$C$19:$V$19,0))="R"))&gt;0,"OK","CONFLICT"))</f>
        <v>OK</v>
      </c>
    </row>
    <row r="6" customFormat="false" ht="15" hidden="false" customHeight="true" outlineLevel="0" collapsed="false">
      <c r="A6" s="4" t="n">
        <v>5</v>
      </c>
      <c r="B6" s="4" t="n">
        <v>1</v>
      </c>
      <c r="C6" s="5" t="s">
        <v>20</v>
      </c>
      <c r="D6" s="5" t="s">
        <v>21</v>
      </c>
      <c r="E6" s="6" t="s">
        <v>34</v>
      </c>
      <c r="F6" s="7" t="s">
        <v>35</v>
      </c>
      <c r="G6" s="7" t="s">
        <v>36</v>
      </c>
      <c r="H6" s="7" t="s">
        <v>37</v>
      </c>
      <c r="I6" s="7" t="s">
        <v>37</v>
      </c>
      <c r="J6" s="8" t="n">
        <v>30</v>
      </c>
      <c r="K6" s="8" t="n">
        <v>21</v>
      </c>
      <c r="S6" s="9" t="str">
        <f aca="false">IF(G6="","",IF(SUMPRODUCT((RoomDB!$A$20:$A$74=G6)*(RoomDB!$B$20:$B$74="D"&amp;B6)*(INDEX(RoomDB!$C$20:$V$74,0,MATCH(C6,RoomDB!$C$19:$V$19,0))="R"))&gt;0,"OK","CONFLICT"))</f>
        <v>OK</v>
      </c>
    </row>
    <row r="7" customFormat="false" ht="15" hidden="false" customHeight="true" outlineLevel="0" collapsed="false">
      <c r="A7" s="10" t="n">
        <v>6</v>
      </c>
      <c r="B7" s="10" t="n">
        <v>1</v>
      </c>
      <c r="C7" s="11" t="s">
        <v>21</v>
      </c>
      <c r="D7" s="11" t="s">
        <v>38</v>
      </c>
      <c r="E7" s="12" t="s">
        <v>39</v>
      </c>
      <c r="F7" s="13"/>
      <c r="G7" s="13" t="s">
        <v>40</v>
      </c>
      <c r="H7" s="13" t="s">
        <v>41</v>
      </c>
      <c r="I7" s="13" t="s">
        <v>19</v>
      </c>
      <c r="J7" s="8" t="n">
        <v>200</v>
      </c>
      <c r="K7" s="8" t="n">
        <v>200</v>
      </c>
      <c r="S7" s="9" t="str">
        <f aca="false">IF(G7="","",IF(SUMPRODUCT((RoomDB!$A$20:$A$74=G7)*(RoomDB!$B$20:$B$74="D"&amp;B7)*(INDEX(RoomDB!$C$20:$V$74,0,MATCH(C7,RoomDB!$C$19:$V$19,0))="R"))&gt;0,"OK","CONFLICT"))</f>
        <v>OK</v>
      </c>
    </row>
    <row r="8" customFormat="false" ht="15" hidden="false" customHeight="true" outlineLevel="0" collapsed="false">
      <c r="A8" s="4" t="n">
        <v>7</v>
      </c>
      <c r="B8" s="4" t="n">
        <v>1</v>
      </c>
      <c r="C8" s="5" t="s">
        <v>38</v>
      </c>
      <c r="D8" s="5" t="s">
        <v>42</v>
      </c>
      <c r="E8" s="6" t="s">
        <v>43</v>
      </c>
      <c r="F8" s="7" t="s">
        <v>44</v>
      </c>
      <c r="G8" s="7" t="s">
        <v>24</v>
      </c>
      <c r="H8" s="7" t="s">
        <v>25</v>
      </c>
      <c r="I8" s="7" t="s">
        <v>25</v>
      </c>
      <c r="J8" s="8" t="n">
        <v>40</v>
      </c>
      <c r="K8" s="8" t="n">
        <v>28</v>
      </c>
      <c r="S8" s="9" t="str">
        <f aca="false">IF(G8="","",IF(SUMPRODUCT((RoomDB!$A$20:$A$74=G8)*(RoomDB!$B$20:$B$74="D"&amp;B8)*(INDEX(RoomDB!$C$20:$V$74,0,MATCH(C8,RoomDB!$C$19:$V$19,0))="R"))&gt;0,"OK","CONFLICT"))</f>
        <v>OK</v>
      </c>
    </row>
    <row r="9" customFormat="false" ht="15" hidden="false" customHeight="true" outlineLevel="0" collapsed="false">
      <c r="A9" s="10" t="n">
        <v>8</v>
      </c>
      <c r="B9" s="10" t="n">
        <v>1</v>
      </c>
      <c r="C9" s="11" t="s">
        <v>38</v>
      </c>
      <c r="D9" s="11" t="s">
        <v>42</v>
      </c>
      <c r="E9" s="12" t="s">
        <v>45</v>
      </c>
      <c r="F9" s="13" t="s">
        <v>46</v>
      </c>
      <c r="G9" s="13" t="s">
        <v>28</v>
      </c>
      <c r="H9" s="13" t="s">
        <v>29</v>
      </c>
      <c r="I9" s="13" t="s">
        <v>29</v>
      </c>
      <c r="J9" s="8" t="n">
        <v>50</v>
      </c>
      <c r="K9" s="8" t="n">
        <v>35</v>
      </c>
      <c r="S9" s="9" t="str">
        <f aca="false">IF(G9="","",IF(SUMPRODUCT((RoomDB!$A$20:$A$74=G9)*(RoomDB!$B$20:$B$74="D"&amp;B9)*(INDEX(RoomDB!$C$20:$V$74,0,MATCH(C9,RoomDB!$C$19:$V$19,0))="R"))&gt;0,"OK","CONFLICT"))</f>
        <v>OK</v>
      </c>
    </row>
    <row r="10" customFormat="false" ht="15" hidden="false" customHeight="true" outlineLevel="0" collapsed="false">
      <c r="A10" s="4" t="n">
        <v>9</v>
      </c>
      <c r="B10" s="4" t="n">
        <v>1</v>
      </c>
      <c r="C10" s="5" t="s">
        <v>38</v>
      </c>
      <c r="D10" s="5" t="s">
        <v>42</v>
      </c>
      <c r="E10" s="6" t="s">
        <v>47</v>
      </c>
      <c r="F10" s="7" t="s">
        <v>48</v>
      </c>
      <c r="G10" s="7" t="s">
        <v>32</v>
      </c>
      <c r="H10" s="7" t="s">
        <v>33</v>
      </c>
      <c r="I10" s="7" t="s">
        <v>33</v>
      </c>
      <c r="J10" s="8" t="n">
        <v>35</v>
      </c>
      <c r="K10" s="8" t="n">
        <v>24</v>
      </c>
      <c r="S10" s="9" t="str">
        <f aca="false">IF(G10="","",IF(SUMPRODUCT((RoomDB!$A$20:$A$74=G10)*(RoomDB!$B$20:$B$74="D"&amp;B10)*(INDEX(RoomDB!$C$20:$V$74,0,MATCH(C10,RoomDB!$C$19:$V$19,0))="R"))&gt;0,"OK","CONFLICT"))</f>
        <v>OK</v>
      </c>
    </row>
    <row r="11" customFormat="false" ht="15" hidden="false" customHeight="true" outlineLevel="0" collapsed="false">
      <c r="A11" s="10" t="n">
        <v>10</v>
      </c>
      <c r="B11" s="10" t="n">
        <v>1</v>
      </c>
      <c r="C11" s="11" t="s">
        <v>38</v>
      </c>
      <c r="D11" s="11" t="s">
        <v>42</v>
      </c>
      <c r="E11" s="12" t="s">
        <v>49</v>
      </c>
      <c r="F11" s="13" t="s">
        <v>50</v>
      </c>
      <c r="G11" s="13" t="s">
        <v>36</v>
      </c>
      <c r="H11" s="13" t="s">
        <v>37</v>
      </c>
      <c r="I11" s="13" t="s">
        <v>37</v>
      </c>
      <c r="J11" s="8" t="n">
        <v>30</v>
      </c>
      <c r="K11" s="8" t="n">
        <v>21</v>
      </c>
      <c r="S11" s="9" t="str">
        <f aca="false">IF(G11="","",IF(SUMPRODUCT((RoomDB!$A$20:$A$74=G11)*(RoomDB!$B$20:$B$74="D"&amp;B11)*(INDEX(RoomDB!$C$20:$V$74,0,MATCH(C11,RoomDB!$C$19:$V$19,0))="R"))&gt;0,"OK","CONFLICT"))</f>
        <v>OK</v>
      </c>
    </row>
    <row r="12" customFormat="false" ht="15" hidden="false" customHeight="true" outlineLevel="0" collapsed="false">
      <c r="A12" s="4" t="n">
        <v>11</v>
      </c>
      <c r="B12" s="4" t="n">
        <v>1</v>
      </c>
      <c r="C12" s="5" t="s">
        <v>42</v>
      </c>
      <c r="D12" s="5" t="s">
        <v>51</v>
      </c>
      <c r="E12" s="6" t="s">
        <v>52</v>
      </c>
      <c r="F12" s="7"/>
      <c r="G12" s="7" t="s">
        <v>40</v>
      </c>
      <c r="H12" s="7" t="s">
        <v>41</v>
      </c>
      <c r="I12" s="7" t="s">
        <v>19</v>
      </c>
      <c r="J12" s="8" t="n">
        <v>200</v>
      </c>
      <c r="K12" s="8" t="n">
        <v>200</v>
      </c>
      <c r="S12" s="9" t="str">
        <f aca="false">IF(G12="","",IF(SUMPRODUCT((RoomDB!$A$20:$A$74=G12)*(RoomDB!$B$20:$B$74="D"&amp;B12)*(INDEX(RoomDB!$C$20:$V$74,0,MATCH(C12,RoomDB!$C$19:$V$19,0))="R"))&gt;0,"OK","CONFLICT"))</f>
        <v>OK</v>
      </c>
    </row>
    <row r="13" customFormat="false" ht="15" hidden="false" customHeight="true" outlineLevel="0" collapsed="false">
      <c r="A13" s="10" t="n">
        <v>12</v>
      </c>
      <c r="B13" s="10" t="n">
        <v>1</v>
      </c>
      <c r="C13" s="11" t="s">
        <v>51</v>
      </c>
      <c r="D13" s="11" t="s">
        <v>53</v>
      </c>
      <c r="E13" s="12" t="s">
        <v>54</v>
      </c>
      <c r="F13" s="13" t="s">
        <v>55</v>
      </c>
      <c r="G13" s="13" t="s">
        <v>24</v>
      </c>
      <c r="H13" s="13" t="s">
        <v>25</v>
      </c>
      <c r="I13" s="13" t="s">
        <v>25</v>
      </c>
      <c r="J13" s="8" t="n">
        <v>38</v>
      </c>
      <c r="K13" s="8" t="n">
        <v>26</v>
      </c>
      <c r="S13" s="9" t="str">
        <f aca="false">IF(G13="","",IF(SUMPRODUCT((RoomDB!$A$20:$A$74=G13)*(RoomDB!$B$20:$B$74="D"&amp;B13)*(INDEX(RoomDB!$C$20:$V$74,0,MATCH(C13,RoomDB!$C$19:$V$19,0))="R"))&gt;0,"OK","CONFLICT"))</f>
        <v>OK</v>
      </c>
    </row>
    <row r="14" customFormat="false" ht="15" hidden="false" customHeight="true" outlineLevel="0" collapsed="false">
      <c r="A14" s="4" t="n">
        <v>13</v>
      </c>
      <c r="B14" s="4" t="n">
        <v>1</v>
      </c>
      <c r="C14" s="5" t="s">
        <v>51</v>
      </c>
      <c r="D14" s="5" t="s">
        <v>53</v>
      </c>
      <c r="E14" s="6" t="s">
        <v>56</v>
      </c>
      <c r="F14" s="7" t="s">
        <v>57</v>
      </c>
      <c r="G14" s="7" t="s">
        <v>28</v>
      </c>
      <c r="H14" s="7" t="s">
        <v>29</v>
      </c>
      <c r="I14" s="7" t="s">
        <v>29</v>
      </c>
      <c r="J14" s="8" t="n">
        <v>42</v>
      </c>
      <c r="K14" s="8" t="n">
        <v>29</v>
      </c>
      <c r="S14" s="9" t="str">
        <f aca="false">IF(G14="","",IF(SUMPRODUCT((RoomDB!$A$20:$A$74=G14)*(RoomDB!$B$20:$B$74="D"&amp;B14)*(INDEX(RoomDB!$C$20:$V$74,0,MATCH(C14,RoomDB!$C$19:$V$19,0))="R"))&gt;0,"OK","CONFLICT"))</f>
        <v>OK</v>
      </c>
    </row>
    <row r="15" customFormat="false" ht="15" hidden="false" customHeight="true" outlineLevel="0" collapsed="false">
      <c r="A15" s="10" t="n">
        <v>14</v>
      </c>
      <c r="B15" s="10" t="n">
        <v>1</v>
      </c>
      <c r="C15" s="11" t="s">
        <v>51</v>
      </c>
      <c r="D15" s="11" t="s">
        <v>53</v>
      </c>
      <c r="E15" s="12" t="s">
        <v>58</v>
      </c>
      <c r="F15" s="13" t="s">
        <v>31</v>
      </c>
      <c r="G15" s="13" t="s">
        <v>32</v>
      </c>
      <c r="H15" s="13" t="s">
        <v>33</v>
      </c>
      <c r="I15" s="13" t="s">
        <v>33</v>
      </c>
      <c r="J15" s="8" t="n">
        <v>32</v>
      </c>
      <c r="K15" s="8" t="n">
        <v>22</v>
      </c>
      <c r="S15" s="9" t="str">
        <f aca="false">IF(G15="","",IF(SUMPRODUCT((RoomDB!$A$20:$A$74=G15)*(RoomDB!$B$20:$B$74="D"&amp;B15)*(INDEX(RoomDB!$C$20:$V$74,0,MATCH(C15,RoomDB!$C$19:$V$19,0))="R"))&gt;0,"OK","CONFLICT"))</f>
        <v>OK</v>
      </c>
    </row>
    <row r="16" customFormat="false" ht="15" hidden="false" customHeight="true" outlineLevel="0" collapsed="false">
      <c r="A16" s="4" t="n">
        <v>15</v>
      </c>
      <c r="B16" s="4" t="n">
        <v>1</v>
      </c>
      <c r="C16" s="5" t="s">
        <v>51</v>
      </c>
      <c r="D16" s="5" t="s">
        <v>53</v>
      </c>
      <c r="E16" s="6" t="s">
        <v>59</v>
      </c>
      <c r="F16" s="7" t="s">
        <v>60</v>
      </c>
      <c r="G16" s="7" t="s">
        <v>36</v>
      </c>
      <c r="H16" s="7" t="s">
        <v>37</v>
      </c>
      <c r="I16" s="7" t="s">
        <v>37</v>
      </c>
      <c r="J16" s="8" t="n">
        <v>28</v>
      </c>
      <c r="K16" s="8" t="n">
        <v>19</v>
      </c>
      <c r="S16" s="9" t="str">
        <f aca="false">IF(G16="","",IF(SUMPRODUCT((RoomDB!$A$20:$A$74=G16)*(RoomDB!$B$20:$B$74="D"&amp;B16)*(INDEX(RoomDB!$C$20:$V$74,0,MATCH(C16,RoomDB!$C$19:$V$19,0))="R"))&gt;0,"OK","CONFLICT"))</f>
        <v>OK</v>
      </c>
    </row>
    <row r="17" customFormat="false" ht="15" hidden="false" customHeight="true" outlineLevel="0" collapsed="false">
      <c r="A17" s="10" t="n">
        <v>16</v>
      </c>
      <c r="B17" s="10" t="n">
        <v>2</v>
      </c>
      <c r="C17" s="11" t="s">
        <v>13</v>
      </c>
      <c r="D17" s="11" t="s">
        <v>20</v>
      </c>
      <c r="E17" s="12" t="s">
        <v>61</v>
      </c>
      <c r="F17" s="13" t="s">
        <v>44</v>
      </c>
      <c r="G17" s="13" t="s">
        <v>24</v>
      </c>
      <c r="H17" s="13" t="s">
        <v>25</v>
      </c>
      <c r="I17" s="13" t="s">
        <v>25</v>
      </c>
      <c r="J17" s="8" t="n">
        <v>40</v>
      </c>
      <c r="K17" s="8" t="n">
        <v>28</v>
      </c>
      <c r="S17" s="9" t="str">
        <f aca="false">IF(G17="","",IF(SUMPRODUCT((RoomDB!$A$20:$A$74=G17)*(RoomDB!$B$20:$B$74="D"&amp;B17)*(INDEX(RoomDB!$C$20:$V$74,0,MATCH(C17,RoomDB!$C$19:$V$19,0))="R"))&gt;0,"OK","CONFLICT"))</f>
        <v>OK</v>
      </c>
    </row>
    <row r="18" customFormat="false" ht="15" hidden="false" customHeight="true" outlineLevel="0" collapsed="false">
      <c r="A18" s="4" t="n">
        <v>17</v>
      </c>
      <c r="B18" s="4" t="n">
        <v>2</v>
      </c>
      <c r="C18" s="5" t="s">
        <v>13</v>
      </c>
      <c r="D18" s="5" t="s">
        <v>20</v>
      </c>
      <c r="E18" s="6" t="s">
        <v>62</v>
      </c>
      <c r="F18" s="7" t="s">
        <v>63</v>
      </c>
      <c r="G18" s="7" t="s">
        <v>28</v>
      </c>
      <c r="H18" s="7" t="s">
        <v>29</v>
      </c>
      <c r="I18" s="7" t="s">
        <v>29</v>
      </c>
      <c r="J18" s="8" t="n">
        <v>48</v>
      </c>
      <c r="K18" s="8" t="n">
        <v>33</v>
      </c>
      <c r="S18" s="9" t="str">
        <f aca="false">IF(G18="","",IF(SUMPRODUCT((RoomDB!$A$20:$A$74=G18)*(RoomDB!$B$20:$B$74="D"&amp;B18)*(INDEX(RoomDB!$C$20:$V$74,0,MATCH(C18,RoomDB!$C$19:$V$19,0))="R"))&gt;0,"OK","CONFLICT"))</f>
        <v>OK</v>
      </c>
    </row>
    <row r="19" customFormat="false" ht="15" hidden="false" customHeight="true" outlineLevel="0" collapsed="false">
      <c r="A19" s="10" t="n">
        <v>18</v>
      </c>
      <c r="B19" s="10" t="n">
        <v>2</v>
      </c>
      <c r="C19" s="11" t="s">
        <v>13</v>
      </c>
      <c r="D19" s="11" t="s">
        <v>20</v>
      </c>
      <c r="E19" s="12" t="s">
        <v>64</v>
      </c>
      <c r="F19" s="13" t="s">
        <v>65</v>
      </c>
      <c r="G19" s="13" t="s">
        <v>32</v>
      </c>
      <c r="H19" s="13" t="s">
        <v>33</v>
      </c>
      <c r="I19" s="13" t="s">
        <v>33</v>
      </c>
      <c r="J19" s="8" t="n">
        <v>35</v>
      </c>
      <c r="K19" s="8" t="n">
        <v>24</v>
      </c>
      <c r="S19" s="9" t="str">
        <f aca="false">IF(G19="","",IF(SUMPRODUCT((RoomDB!$A$20:$A$74=G19)*(RoomDB!$B$20:$B$74="D"&amp;B19)*(INDEX(RoomDB!$C$20:$V$74,0,MATCH(C19,RoomDB!$C$19:$V$19,0))="R"))&gt;0,"OK","CONFLICT"))</f>
        <v>OK</v>
      </c>
    </row>
    <row r="20" customFormat="false" ht="15" hidden="false" customHeight="true" outlineLevel="0" collapsed="false">
      <c r="A20" s="4" t="n">
        <v>19</v>
      </c>
      <c r="B20" s="4" t="n">
        <v>2</v>
      </c>
      <c r="C20" s="5" t="s">
        <v>13</v>
      </c>
      <c r="D20" s="5" t="s">
        <v>20</v>
      </c>
      <c r="E20" s="6" t="s">
        <v>66</v>
      </c>
      <c r="F20" s="7" t="s">
        <v>35</v>
      </c>
      <c r="G20" s="7" t="s">
        <v>36</v>
      </c>
      <c r="H20" s="7" t="s">
        <v>37</v>
      </c>
      <c r="I20" s="7" t="s">
        <v>37</v>
      </c>
      <c r="J20" s="8" t="n">
        <v>30</v>
      </c>
      <c r="K20" s="8" t="n">
        <v>21</v>
      </c>
      <c r="S20" s="9" t="str">
        <f aca="false">IF(G20="","",IF(SUMPRODUCT((RoomDB!$A$20:$A$74=G20)*(RoomDB!$B$20:$B$74="D"&amp;B20)*(INDEX(RoomDB!$C$20:$V$74,0,MATCH(C20,RoomDB!$C$19:$V$19,0))="R"))&gt;0,"OK","CONFLICT"))</f>
        <v>OK</v>
      </c>
    </row>
    <row r="21" customFormat="false" ht="15" hidden="false" customHeight="true" outlineLevel="0" collapsed="false">
      <c r="A21" s="10" t="n">
        <v>20</v>
      </c>
      <c r="B21" s="10" t="n">
        <v>2</v>
      </c>
      <c r="C21" s="11" t="s">
        <v>20</v>
      </c>
      <c r="D21" s="11" t="s">
        <v>67</v>
      </c>
      <c r="E21" s="12" t="s">
        <v>68</v>
      </c>
      <c r="F21" s="13"/>
      <c r="G21" s="13" t="s">
        <v>40</v>
      </c>
      <c r="H21" s="13" t="s">
        <v>41</v>
      </c>
      <c r="I21" s="13" t="s">
        <v>19</v>
      </c>
      <c r="J21" s="8" t="n">
        <v>200</v>
      </c>
      <c r="K21" s="8" t="n">
        <v>200</v>
      </c>
      <c r="S21" s="9" t="str">
        <f aca="false">IF(G21="","",IF(SUMPRODUCT((RoomDB!$A$20:$A$74=G21)*(RoomDB!$B$20:$B$74="D"&amp;B21)*(INDEX(RoomDB!$C$20:$V$74,0,MATCH(C21,RoomDB!$C$19:$V$19,0))="R"))&gt;0,"OK","CONFLICT"))</f>
        <v>OK</v>
      </c>
    </row>
    <row r="22" customFormat="false" ht="15" hidden="false" customHeight="true" outlineLevel="0" collapsed="false">
      <c r="A22" s="4" t="n">
        <v>21</v>
      </c>
      <c r="B22" s="4" t="n">
        <v>2</v>
      </c>
      <c r="C22" s="5" t="s">
        <v>67</v>
      </c>
      <c r="D22" s="5" t="s">
        <v>21</v>
      </c>
      <c r="E22" s="6" t="s">
        <v>69</v>
      </c>
      <c r="F22" s="7" t="s">
        <v>70</v>
      </c>
      <c r="G22" s="7" t="s">
        <v>17</v>
      </c>
      <c r="H22" s="7" t="s">
        <v>18</v>
      </c>
      <c r="I22" s="7" t="s">
        <v>19</v>
      </c>
      <c r="J22" s="8" t="n">
        <v>180</v>
      </c>
      <c r="K22" s="8" t="n">
        <v>125</v>
      </c>
      <c r="S22" s="9" t="str">
        <f aca="false">IF(G22="","",IF(SUMPRODUCT((RoomDB!$A$20:$A$74=G22)*(RoomDB!$B$20:$B$74="D"&amp;B22)*(INDEX(RoomDB!$C$20:$V$74,0,MATCH(C22,RoomDB!$C$19:$V$19,0))="R"))&gt;0,"OK","CONFLICT"))</f>
        <v>OK</v>
      </c>
    </row>
    <row r="23" customFormat="false" ht="15" hidden="false" customHeight="true" outlineLevel="0" collapsed="false">
      <c r="A23" s="10" t="n">
        <v>22</v>
      </c>
      <c r="B23" s="10" t="n">
        <v>2</v>
      </c>
      <c r="C23" s="11" t="s">
        <v>21</v>
      </c>
      <c r="D23" s="11" t="s">
        <v>38</v>
      </c>
      <c r="E23" s="12" t="s">
        <v>39</v>
      </c>
      <c r="F23" s="13"/>
      <c r="G23" s="13" t="s">
        <v>40</v>
      </c>
      <c r="H23" s="13" t="s">
        <v>41</v>
      </c>
      <c r="I23" s="13" t="s">
        <v>19</v>
      </c>
      <c r="J23" s="8" t="n">
        <v>200</v>
      </c>
      <c r="K23" s="8" t="n">
        <v>200</v>
      </c>
      <c r="S23" s="9" t="str">
        <f aca="false">IF(G23="","",IF(SUMPRODUCT((RoomDB!$A$20:$A$74=G23)*(RoomDB!$B$20:$B$74="D"&amp;B23)*(INDEX(RoomDB!$C$20:$V$74,0,MATCH(C23,RoomDB!$C$19:$V$19,0))="R"))&gt;0,"OK","CONFLICT"))</f>
        <v>OK</v>
      </c>
    </row>
    <row r="24" customFormat="false" ht="15" hidden="false" customHeight="true" outlineLevel="0" collapsed="false">
      <c r="A24" s="4" t="n">
        <v>23</v>
      </c>
      <c r="B24" s="4" t="n">
        <v>2</v>
      </c>
      <c r="C24" s="5" t="s">
        <v>38</v>
      </c>
      <c r="D24" s="5" t="s">
        <v>42</v>
      </c>
      <c r="E24" s="6" t="s">
        <v>71</v>
      </c>
      <c r="F24" s="7" t="s">
        <v>23</v>
      </c>
      <c r="G24" s="7" t="s">
        <v>24</v>
      </c>
      <c r="H24" s="7" t="s">
        <v>25</v>
      </c>
      <c r="I24" s="7" t="s">
        <v>25</v>
      </c>
      <c r="J24" s="8" t="n">
        <v>40</v>
      </c>
      <c r="K24" s="8" t="n">
        <v>28</v>
      </c>
      <c r="S24" s="9" t="str">
        <f aca="false">IF(G24="","",IF(SUMPRODUCT((RoomDB!$A$20:$A$74=G24)*(RoomDB!$B$20:$B$74="D"&amp;B24)*(INDEX(RoomDB!$C$20:$V$74,0,MATCH(C24,RoomDB!$C$19:$V$19,0))="R"))&gt;0,"OK","CONFLICT"))</f>
        <v>OK</v>
      </c>
    </row>
    <row r="25" customFormat="false" ht="15" hidden="false" customHeight="true" outlineLevel="0" collapsed="false">
      <c r="A25" s="10" t="n">
        <v>24</v>
      </c>
      <c r="B25" s="10" t="n">
        <v>2</v>
      </c>
      <c r="C25" s="11" t="s">
        <v>38</v>
      </c>
      <c r="D25" s="11" t="s">
        <v>42</v>
      </c>
      <c r="E25" s="12" t="s">
        <v>72</v>
      </c>
      <c r="F25" s="13" t="s">
        <v>27</v>
      </c>
      <c r="G25" s="13" t="s">
        <v>28</v>
      </c>
      <c r="H25" s="13" t="s">
        <v>29</v>
      </c>
      <c r="I25" s="13" t="s">
        <v>29</v>
      </c>
      <c r="J25" s="8" t="n">
        <v>50</v>
      </c>
      <c r="K25" s="8" t="n">
        <v>35</v>
      </c>
      <c r="S25" s="9" t="str">
        <f aca="false">IF(G25="","",IF(SUMPRODUCT((RoomDB!$A$20:$A$74=G25)*(RoomDB!$B$20:$B$74="D"&amp;B25)*(INDEX(RoomDB!$C$20:$V$74,0,MATCH(C25,RoomDB!$C$19:$V$19,0))="R"))&gt;0,"OK","CONFLICT"))</f>
        <v>OK</v>
      </c>
    </row>
    <row r="26" customFormat="false" ht="15" hidden="false" customHeight="true" outlineLevel="0" collapsed="false">
      <c r="A26" s="4" t="n">
        <v>25</v>
      </c>
      <c r="B26" s="4" t="n">
        <v>2</v>
      </c>
      <c r="C26" s="5" t="s">
        <v>38</v>
      </c>
      <c r="D26" s="5" t="s">
        <v>42</v>
      </c>
      <c r="E26" s="6" t="s">
        <v>73</v>
      </c>
      <c r="F26" s="7" t="s">
        <v>48</v>
      </c>
      <c r="G26" s="7" t="s">
        <v>32</v>
      </c>
      <c r="H26" s="7" t="s">
        <v>33</v>
      </c>
      <c r="I26" s="7" t="s">
        <v>33</v>
      </c>
      <c r="J26" s="8" t="n">
        <v>36</v>
      </c>
      <c r="K26" s="8" t="n">
        <v>25</v>
      </c>
      <c r="S26" s="9" t="str">
        <f aca="false">IF(G26="","",IF(SUMPRODUCT((RoomDB!$A$20:$A$74=G26)*(RoomDB!$B$20:$B$74="D"&amp;B26)*(INDEX(RoomDB!$C$20:$V$74,0,MATCH(C26,RoomDB!$C$19:$V$19,0))="R"))&gt;0,"OK","CONFLICT"))</f>
        <v>OK</v>
      </c>
    </row>
    <row r="27" customFormat="false" ht="15" hidden="false" customHeight="true" outlineLevel="0" collapsed="false">
      <c r="A27" s="10" t="n">
        <v>26</v>
      </c>
      <c r="B27" s="10" t="n">
        <v>2</v>
      </c>
      <c r="C27" s="11" t="s">
        <v>38</v>
      </c>
      <c r="D27" s="11" t="s">
        <v>42</v>
      </c>
      <c r="E27" s="12" t="s">
        <v>74</v>
      </c>
      <c r="F27" s="13" t="s">
        <v>50</v>
      </c>
      <c r="G27" s="13" t="s">
        <v>36</v>
      </c>
      <c r="H27" s="13" t="s">
        <v>37</v>
      </c>
      <c r="I27" s="13" t="s">
        <v>37</v>
      </c>
      <c r="J27" s="8" t="n">
        <v>28</v>
      </c>
      <c r="K27" s="8" t="n">
        <v>19</v>
      </c>
      <c r="S27" s="9" t="str">
        <f aca="false">IF(G27="","",IF(SUMPRODUCT((RoomDB!$A$20:$A$74=G27)*(RoomDB!$B$20:$B$74="D"&amp;B27)*(INDEX(RoomDB!$C$20:$V$74,0,MATCH(C27,RoomDB!$C$19:$V$19,0))="R"))&gt;0,"OK","CONFLICT"))</f>
        <v>OK</v>
      </c>
    </row>
    <row r="28" customFormat="false" ht="15" hidden="false" customHeight="true" outlineLevel="0" collapsed="false">
      <c r="A28" s="4" t="n">
        <v>27</v>
      </c>
      <c r="B28" s="4" t="n">
        <v>2</v>
      </c>
      <c r="C28" s="5" t="s">
        <v>42</v>
      </c>
      <c r="D28" s="5" t="s">
        <v>51</v>
      </c>
      <c r="E28" s="6" t="s">
        <v>52</v>
      </c>
      <c r="F28" s="7"/>
      <c r="G28" s="7" t="s">
        <v>40</v>
      </c>
      <c r="H28" s="7" t="s">
        <v>41</v>
      </c>
      <c r="I28" s="7" t="s">
        <v>19</v>
      </c>
      <c r="J28" s="8" t="n">
        <v>200</v>
      </c>
      <c r="K28" s="8" t="n">
        <v>200</v>
      </c>
      <c r="S28" s="9" t="str">
        <f aca="false">IF(G28="","",IF(SUMPRODUCT((RoomDB!$A$20:$A$74=G28)*(RoomDB!$B$20:$B$74="D"&amp;B28)*(INDEX(RoomDB!$C$20:$V$74,0,MATCH(C28,RoomDB!$C$19:$V$19,0))="R"))&gt;0,"OK","CONFLICT"))</f>
        <v>OK</v>
      </c>
    </row>
    <row r="29" customFormat="false" ht="15" hidden="false" customHeight="true" outlineLevel="0" collapsed="false">
      <c r="A29" s="10" t="n">
        <v>28</v>
      </c>
      <c r="B29" s="10" t="n">
        <v>2</v>
      </c>
      <c r="C29" s="11" t="s">
        <v>51</v>
      </c>
      <c r="D29" s="11" t="s">
        <v>53</v>
      </c>
      <c r="E29" s="12" t="s">
        <v>75</v>
      </c>
      <c r="F29" s="13" t="s">
        <v>55</v>
      </c>
      <c r="G29" s="13" t="s">
        <v>24</v>
      </c>
      <c r="H29" s="13" t="s">
        <v>25</v>
      </c>
      <c r="I29" s="13" t="s">
        <v>25</v>
      </c>
      <c r="J29" s="8" t="n">
        <v>42</v>
      </c>
      <c r="K29" s="8" t="n">
        <v>29</v>
      </c>
      <c r="S29" s="9" t="str">
        <f aca="false">IF(G29="","",IF(SUMPRODUCT((RoomDB!$A$20:$A$74=G29)*(RoomDB!$B$20:$B$74="D"&amp;B29)*(INDEX(RoomDB!$C$20:$V$74,0,MATCH(C29,RoomDB!$C$19:$V$19,0))="R"))&gt;0,"OK","CONFLICT"))</f>
        <v>OK</v>
      </c>
    </row>
    <row r="30" customFormat="false" ht="15" hidden="false" customHeight="true" outlineLevel="0" collapsed="false">
      <c r="A30" s="4" t="n">
        <v>29</v>
      </c>
      <c r="B30" s="4" t="n">
        <v>2</v>
      </c>
      <c r="C30" s="5" t="s">
        <v>51</v>
      </c>
      <c r="D30" s="5" t="s">
        <v>53</v>
      </c>
      <c r="E30" s="6" t="s">
        <v>76</v>
      </c>
      <c r="F30" s="7" t="s">
        <v>46</v>
      </c>
      <c r="G30" s="7" t="s">
        <v>28</v>
      </c>
      <c r="H30" s="7" t="s">
        <v>29</v>
      </c>
      <c r="I30" s="7" t="s">
        <v>29</v>
      </c>
      <c r="J30" s="8" t="n">
        <v>44</v>
      </c>
      <c r="K30" s="8" t="n">
        <v>30</v>
      </c>
      <c r="S30" s="9" t="str">
        <f aca="false">IF(G30="","",IF(SUMPRODUCT((RoomDB!$A$20:$A$74=G30)*(RoomDB!$B$20:$B$74="D"&amp;B30)*(INDEX(RoomDB!$C$20:$V$74,0,MATCH(C30,RoomDB!$C$19:$V$19,0))="R"))&gt;0,"OK","CONFLICT"))</f>
        <v>OK</v>
      </c>
    </row>
    <row r="31" customFormat="false" ht="15" hidden="false" customHeight="true" outlineLevel="0" collapsed="false">
      <c r="A31" s="10" t="n">
        <v>30</v>
      </c>
      <c r="B31" s="10" t="n">
        <v>2</v>
      </c>
      <c r="C31" s="11" t="s">
        <v>51</v>
      </c>
      <c r="D31" s="11" t="s">
        <v>53</v>
      </c>
      <c r="E31" s="12" t="s">
        <v>77</v>
      </c>
      <c r="F31" s="13" t="s">
        <v>65</v>
      </c>
      <c r="G31" s="13" t="s">
        <v>32</v>
      </c>
      <c r="H31" s="13" t="s">
        <v>33</v>
      </c>
      <c r="I31" s="13" t="s">
        <v>33</v>
      </c>
      <c r="J31" s="8" t="n">
        <v>34</v>
      </c>
      <c r="K31" s="8" t="n">
        <v>23</v>
      </c>
      <c r="S31" s="9" t="str">
        <f aca="false">IF(G31="","",IF(SUMPRODUCT((RoomDB!$A$20:$A$74=G31)*(RoomDB!$B$20:$B$74="D"&amp;B31)*(INDEX(RoomDB!$C$20:$V$74,0,MATCH(C31,RoomDB!$C$19:$V$19,0))="R"))&gt;0,"OK","CONFLICT"))</f>
        <v>OK</v>
      </c>
    </row>
    <row r="32" customFormat="false" ht="15" hidden="false" customHeight="true" outlineLevel="0" collapsed="false">
      <c r="A32" s="4" t="n">
        <v>31</v>
      </c>
      <c r="B32" s="4" t="n">
        <v>2</v>
      </c>
      <c r="C32" s="5" t="s">
        <v>51</v>
      </c>
      <c r="D32" s="5" t="s">
        <v>53</v>
      </c>
      <c r="E32" s="6" t="s">
        <v>78</v>
      </c>
      <c r="F32" s="7" t="s">
        <v>60</v>
      </c>
      <c r="G32" s="7" t="s">
        <v>36</v>
      </c>
      <c r="H32" s="7" t="s">
        <v>37</v>
      </c>
      <c r="I32" s="7" t="s">
        <v>37</v>
      </c>
      <c r="J32" s="8" t="n">
        <v>26</v>
      </c>
      <c r="K32" s="8" t="n">
        <v>18</v>
      </c>
      <c r="S32" s="9" t="str">
        <f aca="false">IF(G32="","",IF(SUMPRODUCT((RoomDB!$A$20:$A$74=G32)*(RoomDB!$B$20:$B$74="D"&amp;B32)*(INDEX(RoomDB!$C$20:$V$74,0,MATCH(C32,RoomDB!$C$19:$V$19,0))="R"))&gt;0,"OK","CONFLICT"))</f>
        <v>OK</v>
      </c>
    </row>
    <row r="33" customFormat="false" ht="15" hidden="false" customHeight="true" outlineLevel="0" collapsed="false">
      <c r="A33" s="10" t="n">
        <v>32</v>
      </c>
      <c r="B33" s="10" t="n">
        <v>3</v>
      </c>
      <c r="C33" s="11" t="s">
        <v>13</v>
      </c>
      <c r="D33" s="11" t="s">
        <v>14</v>
      </c>
      <c r="E33" s="12" t="s">
        <v>79</v>
      </c>
      <c r="F33" s="13" t="s">
        <v>16</v>
      </c>
      <c r="G33" s="13" t="s">
        <v>17</v>
      </c>
      <c r="H33" s="13" t="s">
        <v>18</v>
      </c>
      <c r="I33" s="13" t="s">
        <v>19</v>
      </c>
      <c r="J33" s="8" t="n">
        <v>190</v>
      </c>
      <c r="K33" s="8" t="n">
        <v>133</v>
      </c>
      <c r="S33" s="9" t="str">
        <f aca="false">IF(G33="","",IF(SUMPRODUCT((RoomDB!$A$20:$A$74=G33)*(RoomDB!$B$20:$B$74="D"&amp;B33)*(INDEX(RoomDB!$C$20:$V$74,0,MATCH(C33,RoomDB!$C$19:$V$19,0))="R"))&gt;0,"OK","CONFLICT"))</f>
        <v>OK</v>
      </c>
    </row>
    <row r="34" customFormat="false" ht="15" hidden="false" customHeight="true" outlineLevel="0" collapsed="false">
      <c r="A34" s="4" t="n">
        <v>33</v>
      </c>
      <c r="B34" s="4" t="n">
        <v>3</v>
      </c>
      <c r="C34" s="5" t="s">
        <v>14</v>
      </c>
      <c r="D34" s="5" t="s">
        <v>20</v>
      </c>
      <c r="E34" s="6" t="s">
        <v>68</v>
      </c>
      <c r="F34" s="7"/>
      <c r="G34" s="7" t="s">
        <v>40</v>
      </c>
      <c r="H34" s="7" t="s">
        <v>41</v>
      </c>
      <c r="I34" s="7" t="s">
        <v>19</v>
      </c>
      <c r="J34" s="8" t="n">
        <v>200</v>
      </c>
      <c r="K34" s="8" t="n">
        <v>200</v>
      </c>
      <c r="S34" s="9" t="str">
        <f aca="false">IF(G34="","",IF(SUMPRODUCT((RoomDB!$A$20:$A$74=G34)*(RoomDB!$B$20:$B$74="D"&amp;B34)*(INDEX(RoomDB!$C$20:$V$74,0,MATCH(C34,RoomDB!$C$19:$V$19,0))="R"))&gt;0,"OK","CONFLICT"))</f>
        <v>OK</v>
      </c>
    </row>
    <row r="35" customFormat="false" ht="15" hidden="false" customHeight="true" outlineLevel="0" collapsed="false">
      <c r="A35" s="10" t="n">
        <v>34</v>
      </c>
      <c r="B35" s="10" t="n">
        <v>3</v>
      </c>
      <c r="C35" s="11" t="s">
        <v>20</v>
      </c>
      <c r="D35" s="11" t="s">
        <v>21</v>
      </c>
      <c r="E35" s="12" t="s">
        <v>80</v>
      </c>
      <c r="F35" s="13" t="s">
        <v>44</v>
      </c>
      <c r="G35" s="13" t="s">
        <v>24</v>
      </c>
      <c r="H35" s="13" t="s">
        <v>25</v>
      </c>
      <c r="I35" s="13" t="s">
        <v>25</v>
      </c>
      <c r="J35" s="8" t="n">
        <v>40</v>
      </c>
      <c r="K35" s="8" t="n">
        <v>28</v>
      </c>
      <c r="S35" s="9" t="str">
        <f aca="false">IF(G35="","",IF(SUMPRODUCT((RoomDB!$A$20:$A$74=G35)*(RoomDB!$B$20:$B$74="D"&amp;B35)*(INDEX(RoomDB!$C$20:$V$74,0,MATCH(C35,RoomDB!$C$19:$V$19,0))="R"))&gt;0,"OK","CONFLICT"))</f>
        <v>OK</v>
      </c>
    </row>
    <row r="36" customFormat="false" ht="15" hidden="false" customHeight="true" outlineLevel="0" collapsed="false">
      <c r="A36" s="4" t="n">
        <v>35</v>
      </c>
      <c r="B36" s="4" t="n">
        <v>3</v>
      </c>
      <c r="C36" s="5" t="s">
        <v>20</v>
      </c>
      <c r="D36" s="5" t="s">
        <v>21</v>
      </c>
      <c r="E36" s="6" t="s">
        <v>81</v>
      </c>
      <c r="F36" s="7" t="s">
        <v>57</v>
      </c>
      <c r="G36" s="7" t="s">
        <v>28</v>
      </c>
      <c r="H36" s="7" t="s">
        <v>29</v>
      </c>
      <c r="I36" s="7" t="s">
        <v>29</v>
      </c>
      <c r="J36" s="8" t="n">
        <v>52</v>
      </c>
      <c r="K36" s="8" t="n">
        <v>36</v>
      </c>
      <c r="S36" s="9" t="str">
        <f aca="false">IF(G36="","",IF(SUMPRODUCT((RoomDB!$A$20:$A$74=G36)*(RoomDB!$B$20:$B$74="D"&amp;B36)*(INDEX(RoomDB!$C$20:$V$74,0,MATCH(C36,RoomDB!$C$19:$V$19,0))="R"))&gt;0,"OK","CONFLICT"))</f>
        <v>OK</v>
      </c>
    </row>
    <row r="37" customFormat="false" ht="15" hidden="false" customHeight="true" outlineLevel="0" collapsed="false">
      <c r="A37" s="10" t="n">
        <v>36</v>
      </c>
      <c r="B37" s="10" t="n">
        <v>3</v>
      </c>
      <c r="C37" s="11" t="s">
        <v>20</v>
      </c>
      <c r="D37" s="11" t="s">
        <v>21</v>
      </c>
      <c r="E37" s="12" t="s">
        <v>82</v>
      </c>
      <c r="F37" s="13" t="s">
        <v>31</v>
      </c>
      <c r="G37" s="13" t="s">
        <v>32</v>
      </c>
      <c r="H37" s="13" t="s">
        <v>33</v>
      </c>
      <c r="I37" s="13" t="s">
        <v>33</v>
      </c>
      <c r="J37" s="8" t="n">
        <v>34</v>
      </c>
      <c r="K37" s="8" t="n">
        <v>23</v>
      </c>
      <c r="S37" s="9" t="str">
        <f aca="false">IF(G37="","",IF(SUMPRODUCT((RoomDB!$A$20:$A$74=G37)*(RoomDB!$B$20:$B$74="D"&amp;B37)*(INDEX(RoomDB!$C$20:$V$74,0,MATCH(C37,RoomDB!$C$19:$V$19,0))="R"))&gt;0,"OK","CONFLICT"))</f>
        <v>OK</v>
      </c>
    </row>
    <row r="38" customFormat="false" ht="15" hidden="false" customHeight="true" outlineLevel="0" collapsed="false">
      <c r="A38" s="4" t="n">
        <v>37</v>
      </c>
      <c r="B38" s="4" t="n">
        <v>3</v>
      </c>
      <c r="C38" s="5" t="s">
        <v>20</v>
      </c>
      <c r="D38" s="5" t="s">
        <v>21</v>
      </c>
      <c r="E38" s="6" t="s">
        <v>83</v>
      </c>
      <c r="F38" s="7" t="s">
        <v>63</v>
      </c>
      <c r="G38" s="7" t="s">
        <v>36</v>
      </c>
      <c r="H38" s="7" t="s">
        <v>37</v>
      </c>
      <c r="I38" s="7" t="s">
        <v>37</v>
      </c>
      <c r="J38" s="8" t="n">
        <v>30</v>
      </c>
      <c r="K38" s="8" t="n">
        <v>21</v>
      </c>
      <c r="S38" s="9" t="str">
        <f aca="false">IF(G38="","",IF(SUMPRODUCT((RoomDB!$A$20:$A$74=G38)*(RoomDB!$B$20:$B$74="D"&amp;B38)*(INDEX(RoomDB!$C$20:$V$74,0,MATCH(C38,RoomDB!$C$19:$V$19,0))="R"))&gt;0,"OK","CONFLICT"))</f>
        <v>OK</v>
      </c>
    </row>
    <row r="39" customFormat="false" ht="15" hidden="false" customHeight="true" outlineLevel="0" collapsed="false">
      <c r="A39" s="10" t="n">
        <v>38</v>
      </c>
      <c r="B39" s="10" t="n">
        <v>3</v>
      </c>
      <c r="C39" s="11" t="s">
        <v>21</v>
      </c>
      <c r="D39" s="11" t="s">
        <v>38</v>
      </c>
      <c r="E39" s="12" t="s">
        <v>39</v>
      </c>
      <c r="F39" s="13"/>
      <c r="G39" s="13" t="s">
        <v>40</v>
      </c>
      <c r="H39" s="13" t="s">
        <v>41</v>
      </c>
      <c r="I39" s="13" t="s">
        <v>19</v>
      </c>
      <c r="J39" s="8" t="n">
        <v>200</v>
      </c>
      <c r="K39" s="8" t="n">
        <v>200</v>
      </c>
      <c r="S39" s="9" t="str">
        <f aca="false">IF(G39="","",IF(SUMPRODUCT((RoomDB!$A$20:$A$74=G39)*(RoomDB!$B$20:$B$74="D"&amp;B39)*(INDEX(RoomDB!$C$20:$V$74,0,MATCH(C39,RoomDB!$C$19:$V$19,0))="R"))&gt;0,"OK","CONFLICT"))</f>
        <v>OK</v>
      </c>
    </row>
    <row r="40" customFormat="false" ht="15" hidden="false" customHeight="true" outlineLevel="0" collapsed="false">
      <c r="A40" s="4" t="n">
        <v>39</v>
      </c>
      <c r="B40" s="4" t="n">
        <v>3</v>
      </c>
      <c r="C40" s="5" t="s">
        <v>38</v>
      </c>
      <c r="D40" s="5" t="s">
        <v>53</v>
      </c>
      <c r="E40" s="6" t="s">
        <v>84</v>
      </c>
      <c r="F40" s="7" t="s">
        <v>85</v>
      </c>
      <c r="G40" s="7" t="s">
        <v>86</v>
      </c>
      <c r="H40" s="7" t="s">
        <v>18</v>
      </c>
      <c r="I40" s="7" t="s">
        <v>19</v>
      </c>
      <c r="J40" s="8" t="n">
        <v>200</v>
      </c>
      <c r="K40" s="8" t="n">
        <v>140</v>
      </c>
      <c r="S40" s="9" t="str">
        <f aca="false">IF(G40="","",IF(SUMPRODUCT((RoomDB!$A$20:$A$74=G40)*(RoomDB!$B$20:$B$74="D"&amp;B40)*(INDEX(RoomDB!$C$20:$V$74,0,MATCH(C40,RoomDB!$C$19:$V$19,0))="R"))&gt;0,"OK","CONFLICT"))</f>
        <v>CONFLICT</v>
      </c>
    </row>
    <row r="41" customFormat="false" ht="15" hidden="false" customHeight="true" outlineLevel="0" collapsed="false">
      <c r="A41" s="10" t="n">
        <v>40</v>
      </c>
      <c r="B41" s="10" t="n">
        <v>4</v>
      </c>
      <c r="C41" s="11" t="s">
        <v>13</v>
      </c>
      <c r="D41" s="11" t="s">
        <v>20</v>
      </c>
      <c r="E41" s="12" t="s">
        <v>87</v>
      </c>
      <c r="F41" s="13" t="s">
        <v>23</v>
      </c>
      <c r="G41" s="13" t="s">
        <v>24</v>
      </c>
      <c r="H41" s="13" t="s">
        <v>25</v>
      </c>
      <c r="I41" s="13" t="s">
        <v>25</v>
      </c>
      <c r="J41" s="8" t="n">
        <v>38</v>
      </c>
      <c r="K41" s="8" t="n">
        <v>26</v>
      </c>
      <c r="S41" s="9" t="str">
        <f aca="false">IF(G41="","",IF(SUMPRODUCT((RoomDB!$A$20:$A$74=G41)*(RoomDB!$B$20:$B$74="D"&amp;B41)*(INDEX(RoomDB!$C$20:$V$74,0,MATCH(C41,RoomDB!$C$19:$V$19,0))="R"))&gt;0,"OK","CONFLICT"))</f>
        <v>OK</v>
      </c>
    </row>
    <row r="42" customFormat="false" ht="15" hidden="false" customHeight="true" outlineLevel="0" collapsed="false">
      <c r="A42" s="4" t="n">
        <v>41</v>
      </c>
      <c r="B42" s="4" t="n">
        <v>4</v>
      </c>
      <c r="C42" s="5" t="s">
        <v>13</v>
      </c>
      <c r="D42" s="5" t="s">
        <v>20</v>
      </c>
      <c r="E42" s="6" t="s">
        <v>88</v>
      </c>
      <c r="F42" s="7" t="s">
        <v>46</v>
      </c>
      <c r="G42" s="7" t="s">
        <v>28</v>
      </c>
      <c r="H42" s="7" t="s">
        <v>29</v>
      </c>
      <c r="I42" s="7" t="s">
        <v>29</v>
      </c>
      <c r="J42" s="8" t="n">
        <v>50</v>
      </c>
      <c r="K42" s="8" t="n">
        <v>35</v>
      </c>
      <c r="S42" s="9" t="str">
        <f aca="false">IF(G42="","",IF(SUMPRODUCT((RoomDB!$A$20:$A$74=G42)*(RoomDB!$B$20:$B$74="D"&amp;B42)*(INDEX(RoomDB!$C$20:$V$74,0,MATCH(C42,RoomDB!$C$19:$V$19,0))="R"))&gt;0,"OK","CONFLICT"))</f>
        <v>OK</v>
      </c>
    </row>
    <row r="43" customFormat="false" ht="15" hidden="false" customHeight="true" outlineLevel="0" collapsed="false">
      <c r="A43" s="10" t="n">
        <v>42</v>
      </c>
      <c r="B43" s="10" t="n">
        <v>4</v>
      </c>
      <c r="C43" s="11" t="s">
        <v>13</v>
      </c>
      <c r="D43" s="11" t="s">
        <v>20</v>
      </c>
      <c r="E43" s="12" t="s">
        <v>89</v>
      </c>
      <c r="F43" s="13" t="s">
        <v>48</v>
      </c>
      <c r="G43" s="13" t="s">
        <v>32</v>
      </c>
      <c r="H43" s="13" t="s">
        <v>33</v>
      </c>
      <c r="I43" s="13" t="s">
        <v>33</v>
      </c>
      <c r="J43" s="8" t="n">
        <v>36</v>
      </c>
      <c r="K43" s="8" t="n">
        <v>25</v>
      </c>
      <c r="S43" s="9" t="str">
        <f aca="false">IF(G43="","",IF(SUMPRODUCT((RoomDB!$A$20:$A$74=G43)*(RoomDB!$B$20:$B$74="D"&amp;B43)*(INDEX(RoomDB!$C$20:$V$74,0,MATCH(C43,RoomDB!$C$19:$V$19,0))="R"))&gt;0,"OK","CONFLICT"))</f>
        <v>OK</v>
      </c>
    </row>
    <row r="44" customFormat="false" ht="15" hidden="false" customHeight="true" outlineLevel="0" collapsed="false">
      <c r="A44" s="4" t="n">
        <v>43</v>
      </c>
      <c r="B44" s="4" t="n">
        <v>4</v>
      </c>
      <c r="C44" s="5" t="s">
        <v>13</v>
      </c>
      <c r="D44" s="5" t="s">
        <v>20</v>
      </c>
      <c r="E44" s="6" t="s">
        <v>90</v>
      </c>
      <c r="F44" s="7" t="s">
        <v>35</v>
      </c>
      <c r="G44" s="7" t="s">
        <v>36</v>
      </c>
      <c r="H44" s="7" t="s">
        <v>37</v>
      </c>
      <c r="I44" s="7" t="s">
        <v>37</v>
      </c>
      <c r="J44" s="8" t="n">
        <v>32</v>
      </c>
      <c r="K44" s="8" t="n">
        <v>22</v>
      </c>
      <c r="S44" s="9" t="str">
        <f aca="false">IF(G44="","",IF(SUMPRODUCT((RoomDB!$A$20:$A$74=G44)*(RoomDB!$B$20:$B$74="D"&amp;B44)*(INDEX(RoomDB!$C$20:$V$74,0,MATCH(C44,RoomDB!$C$19:$V$19,0))="R"))&gt;0,"OK","CONFLICT"))</f>
        <v>OK</v>
      </c>
    </row>
    <row r="45" customFormat="false" ht="15" hidden="false" customHeight="true" outlineLevel="0" collapsed="false">
      <c r="A45" s="10" t="n">
        <v>44</v>
      </c>
      <c r="B45" s="10" t="n">
        <v>4</v>
      </c>
      <c r="C45" s="11" t="s">
        <v>20</v>
      </c>
      <c r="D45" s="11" t="s">
        <v>67</v>
      </c>
      <c r="E45" s="12" t="s">
        <v>68</v>
      </c>
      <c r="F45" s="13"/>
      <c r="G45" s="13" t="s">
        <v>40</v>
      </c>
      <c r="H45" s="13" t="s">
        <v>41</v>
      </c>
      <c r="I45" s="13" t="s">
        <v>19</v>
      </c>
      <c r="J45" s="8" t="n">
        <v>200</v>
      </c>
      <c r="K45" s="8" t="n">
        <v>200</v>
      </c>
      <c r="S45" s="9" t="str">
        <f aca="false">IF(G45="","",IF(SUMPRODUCT((RoomDB!$A$20:$A$74=G45)*(RoomDB!$B$20:$B$74="D"&amp;B45)*(INDEX(RoomDB!$C$20:$V$74,0,MATCH(C45,RoomDB!$C$19:$V$19,0))="R"))&gt;0,"OK","CONFLICT"))</f>
        <v>OK</v>
      </c>
    </row>
    <row r="46" customFormat="false" ht="15" hidden="false" customHeight="true" outlineLevel="0" collapsed="false">
      <c r="A46" s="4" t="n">
        <v>45</v>
      </c>
      <c r="B46" s="4" t="n">
        <v>4</v>
      </c>
      <c r="C46" s="5" t="s">
        <v>67</v>
      </c>
      <c r="D46" s="5" t="s">
        <v>91</v>
      </c>
      <c r="E46" s="6" t="s">
        <v>92</v>
      </c>
      <c r="F46" s="7" t="s">
        <v>55</v>
      </c>
      <c r="G46" s="7" t="s">
        <v>24</v>
      </c>
      <c r="H46" s="7" t="s">
        <v>25</v>
      </c>
      <c r="I46" s="7" t="s">
        <v>25</v>
      </c>
      <c r="J46" s="8" t="n">
        <v>42</v>
      </c>
      <c r="K46" s="8" t="n">
        <v>29</v>
      </c>
      <c r="S46" s="9" t="str">
        <f aca="false">IF(G46="","",IF(SUMPRODUCT((RoomDB!$A$20:$A$74=G46)*(RoomDB!$B$20:$B$74="D"&amp;B46)*(INDEX(RoomDB!$C$20:$V$74,0,MATCH(C46,RoomDB!$C$19:$V$19,0))="R"))&gt;0,"OK","CONFLICT"))</f>
        <v>OK</v>
      </c>
    </row>
    <row r="47" customFormat="false" ht="15" hidden="false" customHeight="true" outlineLevel="0" collapsed="false">
      <c r="A47" s="10" t="n">
        <v>46</v>
      </c>
      <c r="B47" s="10" t="n">
        <v>4</v>
      </c>
      <c r="C47" s="11" t="s">
        <v>67</v>
      </c>
      <c r="D47" s="11" t="s">
        <v>91</v>
      </c>
      <c r="E47" s="12" t="s">
        <v>93</v>
      </c>
      <c r="F47" s="13" t="s">
        <v>27</v>
      </c>
      <c r="G47" s="13" t="s">
        <v>28</v>
      </c>
      <c r="H47" s="13" t="s">
        <v>29</v>
      </c>
      <c r="I47" s="13" t="s">
        <v>29</v>
      </c>
      <c r="J47" s="8" t="n">
        <v>46</v>
      </c>
      <c r="K47" s="8" t="n">
        <v>32</v>
      </c>
      <c r="S47" s="9" t="str">
        <f aca="false">IF(G47="","",IF(SUMPRODUCT((RoomDB!$A$20:$A$74=G47)*(RoomDB!$B$20:$B$74="D"&amp;B47)*(INDEX(RoomDB!$C$20:$V$74,0,MATCH(C47,RoomDB!$C$19:$V$19,0))="R"))&gt;0,"OK","CONFLICT"))</f>
        <v>OK</v>
      </c>
    </row>
    <row r="48" customFormat="false" ht="15" hidden="false" customHeight="true" outlineLevel="0" collapsed="false">
      <c r="A48" s="4" t="n">
        <v>47</v>
      </c>
      <c r="B48" s="4" t="n">
        <v>4</v>
      </c>
      <c r="C48" s="5" t="s">
        <v>67</v>
      </c>
      <c r="D48" s="5" t="s">
        <v>91</v>
      </c>
      <c r="E48" s="6" t="s">
        <v>94</v>
      </c>
      <c r="F48" s="7" t="s">
        <v>65</v>
      </c>
      <c r="G48" s="7" t="s">
        <v>32</v>
      </c>
      <c r="H48" s="7" t="s">
        <v>33</v>
      </c>
      <c r="I48" s="7" t="s">
        <v>33</v>
      </c>
      <c r="J48" s="8" t="n">
        <v>34</v>
      </c>
      <c r="K48" s="8" t="n">
        <v>23</v>
      </c>
      <c r="S48" s="9" t="str">
        <f aca="false">IF(G48="","",IF(SUMPRODUCT((RoomDB!$A$20:$A$74=G48)*(RoomDB!$B$20:$B$74="D"&amp;B48)*(INDEX(RoomDB!$C$20:$V$74,0,MATCH(C48,RoomDB!$C$19:$V$19,0))="R"))&gt;0,"OK","CONFLICT"))</f>
        <v>OK</v>
      </c>
    </row>
    <row r="49" customFormat="false" ht="15" hidden="false" customHeight="true" outlineLevel="0" collapsed="false">
      <c r="A49" s="10" t="n">
        <v>48</v>
      </c>
      <c r="B49" s="10" t="n">
        <v>4</v>
      </c>
      <c r="C49" s="11" t="s">
        <v>67</v>
      </c>
      <c r="D49" s="11" t="s">
        <v>91</v>
      </c>
      <c r="E49" s="12" t="s">
        <v>95</v>
      </c>
      <c r="F49" s="13" t="s">
        <v>50</v>
      </c>
      <c r="G49" s="13" t="s">
        <v>36</v>
      </c>
      <c r="H49" s="13" t="s">
        <v>37</v>
      </c>
      <c r="I49" s="13" t="s">
        <v>37</v>
      </c>
      <c r="J49" s="8" t="n">
        <v>30</v>
      </c>
      <c r="K49" s="8" t="n">
        <v>21</v>
      </c>
      <c r="S49" s="9" t="str">
        <f aca="false">IF(G49="","",IF(SUMPRODUCT((RoomDB!$A$20:$A$74=G49)*(RoomDB!$B$20:$B$74="D"&amp;B49)*(INDEX(RoomDB!$C$20:$V$74,0,MATCH(C49,RoomDB!$C$19:$V$19,0))="R"))&gt;0,"OK","CONFLICT"))</f>
        <v>OK</v>
      </c>
    </row>
    <row r="50" customFormat="false" ht="15" hidden="false" customHeight="true" outlineLevel="0" collapsed="false">
      <c r="A50" s="4" t="n">
        <v>49</v>
      </c>
      <c r="B50" s="4" t="n">
        <v>4</v>
      </c>
      <c r="C50" s="5" t="s">
        <v>91</v>
      </c>
      <c r="D50" s="5" t="s">
        <v>96</v>
      </c>
      <c r="E50" s="6" t="s">
        <v>39</v>
      </c>
      <c r="F50" s="7"/>
      <c r="G50" s="7" t="s">
        <v>40</v>
      </c>
      <c r="H50" s="7" t="s">
        <v>41</v>
      </c>
      <c r="I50" s="7" t="s">
        <v>19</v>
      </c>
      <c r="J50" s="8" t="n">
        <v>200</v>
      </c>
      <c r="K50" s="8" t="n">
        <v>200</v>
      </c>
      <c r="S50" s="9" t="str">
        <f aca="false">IF(G50="","",IF(SUMPRODUCT((RoomDB!$A$20:$A$74=G50)*(RoomDB!$B$20:$B$74="D"&amp;B50)*(INDEX(RoomDB!$C$20:$V$74,0,MATCH(C50,RoomDB!$C$19:$V$19,0))="R"))&gt;0,"OK","CONFLICT"))</f>
        <v>OK</v>
      </c>
    </row>
    <row r="51" customFormat="false" ht="15" hidden="false" customHeight="true" outlineLevel="0" collapsed="false">
      <c r="A51" s="10" t="n">
        <v>50</v>
      </c>
      <c r="B51" s="10" t="n">
        <v>4</v>
      </c>
      <c r="C51" s="11" t="s">
        <v>96</v>
      </c>
      <c r="D51" s="11" t="s">
        <v>51</v>
      </c>
      <c r="E51" s="12" t="s">
        <v>97</v>
      </c>
      <c r="F51" s="13" t="s">
        <v>44</v>
      </c>
      <c r="G51" s="13" t="s">
        <v>24</v>
      </c>
      <c r="H51" s="13" t="s">
        <v>25</v>
      </c>
      <c r="I51" s="13" t="s">
        <v>25</v>
      </c>
      <c r="J51" s="8" t="n">
        <v>38</v>
      </c>
      <c r="K51" s="8" t="n">
        <v>26</v>
      </c>
      <c r="S51" s="9" t="str">
        <f aca="false">IF(G51="","",IF(SUMPRODUCT((RoomDB!$A$20:$A$74=G51)*(RoomDB!$B$20:$B$74="D"&amp;B51)*(INDEX(RoomDB!$C$20:$V$74,0,MATCH(C51,RoomDB!$C$19:$V$19,0))="R"))&gt;0,"OK","CONFLICT"))</f>
        <v>OK</v>
      </c>
    </row>
    <row r="52" customFormat="false" ht="15" hidden="false" customHeight="true" outlineLevel="0" collapsed="false">
      <c r="A52" s="4" t="n">
        <v>51</v>
      </c>
      <c r="B52" s="4" t="n">
        <v>4</v>
      </c>
      <c r="C52" s="5" t="s">
        <v>96</v>
      </c>
      <c r="D52" s="5" t="s">
        <v>51</v>
      </c>
      <c r="E52" s="6" t="s">
        <v>98</v>
      </c>
      <c r="F52" s="7" t="s">
        <v>63</v>
      </c>
      <c r="G52" s="7" t="s">
        <v>28</v>
      </c>
      <c r="H52" s="7" t="s">
        <v>29</v>
      </c>
      <c r="I52" s="7" t="s">
        <v>29</v>
      </c>
      <c r="J52" s="8" t="n">
        <v>44</v>
      </c>
      <c r="K52" s="8" t="n">
        <v>30</v>
      </c>
      <c r="S52" s="9" t="str">
        <f aca="false">IF(G52="","",IF(SUMPRODUCT((RoomDB!$A$20:$A$74=G52)*(RoomDB!$B$20:$B$74="D"&amp;B52)*(INDEX(RoomDB!$C$20:$V$74,0,MATCH(C52,RoomDB!$C$19:$V$19,0))="R"))&gt;0,"OK","CONFLICT"))</f>
        <v>OK</v>
      </c>
    </row>
    <row r="53" customFormat="false" ht="15" hidden="false" customHeight="true" outlineLevel="0" collapsed="false">
      <c r="A53" s="10" t="n">
        <v>52</v>
      </c>
      <c r="B53" s="10" t="n">
        <v>4</v>
      </c>
      <c r="C53" s="11" t="s">
        <v>96</v>
      </c>
      <c r="D53" s="11" t="s">
        <v>51</v>
      </c>
      <c r="E53" s="12" t="s">
        <v>99</v>
      </c>
      <c r="F53" s="13" t="s">
        <v>31</v>
      </c>
      <c r="G53" s="13" t="s">
        <v>32</v>
      </c>
      <c r="H53" s="13" t="s">
        <v>33</v>
      </c>
      <c r="I53" s="13" t="s">
        <v>33</v>
      </c>
      <c r="J53" s="8" t="n">
        <v>32</v>
      </c>
      <c r="K53" s="8" t="n">
        <v>22</v>
      </c>
      <c r="S53" s="9" t="str">
        <f aca="false">IF(G53="","",IF(SUMPRODUCT((RoomDB!$A$20:$A$74=G53)*(RoomDB!$B$20:$B$74="D"&amp;B53)*(INDEX(RoomDB!$C$20:$V$74,0,MATCH(C53,RoomDB!$C$19:$V$19,0))="R"))&gt;0,"OK","CONFLICT"))</f>
        <v>OK</v>
      </c>
    </row>
    <row r="54" customFormat="false" ht="15" hidden="false" customHeight="true" outlineLevel="0" collapsed="false">
      <c r="A54" s="4" t="n">
        <v>53</v>
      </c>
      <c r="B54" s="4" t="n">
        <v>4</v>
      </c>
      <c r="C54" s="5" t="s">
        <v>96</v>
      </c>
      <c r="D54" s="5" t="s">
        <v>51</v>
      </c>
      <c r="E54" s="6" t="s">
        <v>100</v>
      </c>
      <c r="F54" s="7" t="s">
        <v>60</v>
      </c>
      <c r="G54" s="7" t="s">
        <v>36</v>
      </c>
      <c r="H54" s="7" t="s">
        <v>37</v>
      </c>
      <c r="I54" s="7" t="s">
        <v>37</v>
      </c>
      <c r="J54" s="8" t="n">
        <v>28</v>
      </c>
      <c r="K54" s="8" t="n">
        <v>19</v>
      </c>
      <c r="S54" s="9" t="str">
        <f aca="false">IF(G54="","",IF(SUMPRODUCT((RoomDB!$A$20:$A$74=G54)*(RoomDB!$B$20:$B$74="D"&amp;B54)*(INDEX(RoomDB!$C$20:$V$74,0,MATCH(C54,RoomDB!$C$19:$V$19,0))="R"))&gt;0,"OK","CONFLICT"))</f>
        <v>OK</v>
      </c>
    </row>
    <row r="55" customFormat="false" ht="15" hidden="false" customHeight="true" outlineLevel="0" collapsed="false">
      <c r="A55" s="10" t="n">
        <v>54</v>
      </c>
      <c r="B55" s="10" t="n">
        <v>4</v>
      </c>
      <c r="C55" s="11" t="s">
        <v>51</v>
      </c>
      <c r="D55" s="11" t="s">
        <v>101</v>
      </c>
      <c r="E55" s="12" t="s">
        <v>52</v>
      </c>
      <c r="F55" s="13"/>
      <c r="G55" s="13" t="s">
        <v>40</v>
      </c>
      <c r="H55" s="13" t="s">
        <v>41</v>
      </c>
      <c r="I55" s="13" t="s">
        <v>19</v>
      </c>
      <c r="J55" s="8" t="n">
        <v>200</v>
      </c>
      <c r="K55" s="8" t="n">
        <v>200</v>
      </c>
      <c r="S55" s="9" t="str">
        <f aca="false">IF(G55="","",IF(SUMPRODUCT((RoomDB!$A$20:$A$74=G55)*(RoomDB!$B$20:$B$74="D"&amp;B55)*(INDEX(RoomDB!$C$20:$V$74,0,MATCH(C55,RoomDB!$C$19:$V$19,0))="R"))&gt;0,"OK","CONFLICT"))</f>
        <v>OK</v>
      </c>
    </row>
    <row r="56" customFormat="false" ht="15" hidden="false" customHeight="true" outlineLevel="0" collapsed="false">
      <c r="A56" s="4" t="n">
        <v>55</v>
      </c>
      <c r="B56" s="4" t="n">
        <v>4</v>
      </c>
      <c r="C56" s="5" t="s">
        <v>101</v>
      </c>
      <c r="D56" s="5" t="s">
        <v>102</v>
      </c>
      <c r="E56" s="6" t="s">
        <v>103</v>
      </c>
      <c r="F56" s="7" t="s">
        <v>104</v>
      </c>
      <c r="G56" s="7" t="s">
        <v>17</v>
      </c>
      <c r="H56" s="7" t="s">
        <v>18</v>
      </c>
      <c r="I56" s="7" t="s">
        <v>19</v>
      </c>
      <c r="J56" s="8" t="n">
        <v>200</v>
      </c>
      <c r="K56" s="8" t="n">
        <v>140</v>
      </c>
      <c r="S56" s="9" t="str">
        <f aca="false">IF(G56="","",IF(SUMPRODUCT((RoomDB!$A$20:$A$74=G56)*(RoomDB!$B$20:$B$74="D"&amp;B56)*(INDEX(RoomDB!$C$20:$V$74,0,MATCH(C56,RoomDB!$C$19:$V$19,0))="R"))&gt;0,"OK","CONFLICT"))</f>
        <v>OK</v>
      </c>
    </row>
    <row r="57" customFormat="false" ht="15" hidden="false" customHeight="true" outlineLevel="0" collapsed="false">
      <c r="A57" s="10" t="n">
        <v>56</v>
      </c>
      <c r="B57" s="10" t="n">
        <v>5</v>
      </c>
      <c r="C57" s="11" t="s">
        <v>13</v>
      </c>
      <c r="D57" s="11" t="s">
        <v>20</v>
      </c>
      <c r="E57" s="12" t="s">
        <v>105</v>
      </c>
      <c r="F57" s="13" t="s">
        <v>23</v>
      </c>
      <c r="G57" s="13" t="s">
        <v>24</v>
      </c>
      <c r="H57" s="13" t="s">
        <v>25</v>
      </c>
      <c r="I57" s="13" t="s">
        <v>25</v>
      </c>
      <c r="J57" s="8" t="n">
        <v>40</v>
      </c>
      <c r="K57" s="8" t="n">
        <v>28</v>
      </c>
      <c r="S57" s="9" t="str">
        <f aca="false">IF(G57="","",IF(SUMPRODUCT((RoomDB!$A$20:$A$74=G57)*(RoomDB!$B$20:$B$74="D"&amp;B57)*(INDEX(RoomDB!$C$20:$V$74,0,MATCH(C57,RoomDB!$C$19:$V$19,0))="R"))&gt;0,"OK","CONFLICT"))</f>
        <v>OK</v>
      </c>
    </row>
    <row r="58" customFormat="false" ht="15" hidden="false" customHeight="true" outlineLevel="0" collapsed="false">
      <c r="A58" s="4" t="n">
        <v>57</v>
      </c>
      <c r="B58" s="4" t="n">
        <v>5</v>
      </c>
      <c r="C58" s="5" t="s">
        <v>13</v>
      </c>
      <c r="D58" s="5" t="s">
        <v>20</v>
      </c>
      <c r="E58" s="6" t="s">
        <v>106</v>
      </c>
      <c r="F58" s="7" t="s">
        <v>46</v>
      </c>
      <c r="G58" s="7" t="s">
        <v>28</v>
      </c>
      <c r="H58" s="7" t="s">
        <v>29</v>
      </c>
      <c r="I58" s="7" t="s">
        <v>29</v>
      </c>
      <c r="J58" s="8" t="n">
        <v>46</v>
      </c>
      <c r="K58" s="8" t="n">
        <v>32</v>
      </c>
      <c r="S58" s="9" t="str">
        <f aca="false">IF(G58="","",IF(SUMPRODUCT((RoomDB!$A$20:$A$74=G58)*(RoomDB!$B$20:$B$74="D"&amp;B58)*(INDEX(RoomDB!$C$20:$V$74,0,MATCH(C58,RoomDB!$C$19:$V$19,0))="R"))&gt;0,"OK","CONFLICT"))</f>
        <v>OK</v>
      </c>
    </row>
    <row r="59" customFormat="false" ht="15" hidden="false" customHeight="true" outlineLevel="0" collapsed="false">
      <c r="A59" s="10" t="n">
        <v>58</v>
      </c>
      <c r="B59" s="10" t="n">
        <v>5</v>
      </c>
      <c r="C59" s="11" t="s">
        <v>13</v>
      </c>
      <c r="D59" s="11" t="s">
        <v>20</v>
      </c>
      <c r="E59" s="12" t="s">
        <v>107</v>
      </c>
      <c r="F59" s="13" t="s">
        <v>48</v>
      </c>
      <c r="G59" s="13" t="s">
        <v>32</v>
      </c>
      <c r="H59" s="13" t="s">
        <v>33</v>
      </c>
      <c r="I59" s="13" t="s">
        <v>33</v>
      </c>
      <c r="J59" s="8" t="n">
        <v>34</v>
      </c>
      <c r="K59" s="8" t="n">
        <v>23</v>
      </c>
      <c r="S59" s="9" t="str">
        <f aca="false">IF(G59="","",IF(SUMPRODUCT((RoomDB!$A$20:$A$74=G59)*(RoomDB!$B$20:$B$74="D"&amp;B59)*(INDEX(RoomDB!$C$20:$V$74,0,MATCH(C59,RoomDB!$C$19:$V$19,0))="R"))&gt;0,"OK","CONFLICT"))</f>
        <v>OK</v>
      </c>
    </row>
    <row r="60" customFormat="false" ht="15" hidden="false" customHeight="true" outlineLevel="0" collapsed="false">
      <c r="A60" s="4" t="n">
        <v>59</v>
      </c>
      <c r="B60" s="4" t="n">
        <v>5</v>
      </c>
      <c r="C60" s="5" t="s">
        <v>13</v>
      </c>
      <c r="D60" s="5" t="s">
        <v>20</v>
      </c>
      <c r="E60" s="6" t="s">
        <v>108</v>
      </c>
      <c r="F60" s="7" t="s">
        <v>35</v>
      </c>
      <c r="G60" s="7" t="s">
        <v>36</v>
      </c>
      <c r="H60" s="7" t="s">
        <v>37</v>
      </c>
      <c r="I60" s="7" t="s">
        <v>37</v>
      </c>
      <c r="J60" s="8" t="n">
        <v>30</v>
      </c>
      <c r="K60" s="8" t="n">
        <v>21</v>
      </c>
      <c r="S60" s="9" t="str">
        <f aca="false">IF(G60="","",IF(SUMPRODUCT((RoomDB!$A$20:$A$74=G60)*(RoomDB!$B$20:$B$74="D"&amp;B60)*(INDEX(RoomDB!$C$20:$V$74,0,MATCH(C60,RoomDB!$C$19:$V$19,0))="R"))&gt;0,"OK","CONFLICT"))</f>
        <v>OK</v>
      </c>
    </row>
    <row r="61" customFormat="false" ht="15" hidden="false" customHeight="true" outlineLevel="0" collapsed="false">
      <c r="A61" s="10" t="n">
        <v>60</v>
      </c>
      <c r="B61" s="10" t="n">
        <v>5</v>
      </c>
      <c r="C61" s="11" t="s">
        <v>20</v>
      </c>
      <c r="D61" s="11" t="s">
        <v>67</v>
      </c>
      <c r="E61" s="12" t="s">
        <v>68</v>
      </c>
      <c r="F61" s="13"/>
      <c r="G61" s="13" t="s">
        <v>40</v>
      </c>
      <c r="H61" s="13" t="s">
        <v>41</v>
      </c>
      <c r="I61" s="13" t="s">
        <v>19</v>
      </c>
      <c r="J61" s="8" t="n">
        <v>200</v>
      </c>
      <c r="K61" s="8" t="n">
        <v>200</v>
      </c>
      <c r="S61" s="9" t="str">
        <f aca="false">IF(G61="","",IF(SUMPRODUCT((RoomDB!$A$20:$A$74=G61)*(RoomDB!$B$20:$B$74="D"&amp;B61)*(INDEX(RoomDB!$C$20:$V$74,0,MATCH(C61,RoomDB!$C$19:$V$19,0))="R"))&gt;0,"OK","CONFLICT"))</f>
        <v>OK</v>
      </c>
    </row>
    <row r="62" customFormat="false" ht="15" hidden="false" customHeight="true" outlineLevel="0" collapsed="false">
      <c r="A62" s="4" t="n">
        <v>61</v>
      </c>
      <c r="B62" s="4" t="n">
        <v>5</v>
      </c>
      <c r="C62" s="5" t="s">
        <v>67</v>
      </c>
      <c r="D62" s="5" t="s">
        <v>21</v>
      </c>
      <c r="E62" s="6" t="s">
        <v>109</v>
      </c>
      <c r="F62" s="7" t="s">
        <v>110</v>
      </c>
      <c r="G62" s="7" t="s">
        <v>17</v>
      </c>
      <c r="H62" s="7" t="s">
        <v>18</v>
      </c>
      <c r="I62" s="7" t="s">
        <v>19</v>
      </c>
      <c r="J62" s="8" t="n">
        <v>180</v>
      </c>
      <c r="K62" s="8" t="n">
        <v>125</v>
      </c>
      <c r="S62" s="9" t="str">
        <f aca="false">IF(G62="","",IF(SUMPRODUCT((RoomDB!$A$20:$A$74=G62)*(RoomDB!$B$20:$B$74="D"&amp;B62)*(INDEX(RoomDB!$C$20:$V$74,0,MATCH(C62,RoomDB!$C$19:$V$19,0))="R"))&gt;0,"OK","CONFLICT"))</f>
        <v>OK</v>
      </c>
    </row>
    <row r="63" customFormat="false" ht="15" hidden="false" customHeight="true" outlineLevel="0" collapsed="false">
      <c r="A63" s="10" t="n">
        <v>62</v>
      </c>
      <c r="B63" s="10" t="n">
        <v>5</v>
      </c>
      <c r="C63" s="11" t="s">
        <v>21</v>
      </c>
      <c r="D63" s="11" t="s">
        <v>38</v>
      </c>
      <c r="E63" s="12" t="s">
        <v>111</v>
      </c>
      <c r="F63" s="13"/>
      <c r="G63" s="13" t="s">
        <v>40</v>
      </c>
      <c r="H63" s="13" t="s">
        <v>41</v>
      </c>
      <c r="I63" s="13" t="s">
        <v>19</v>
      </c>
      <c r="J63" s="8" t="n">
        <v>200</v>
      </c>
      <c r="K63" s="8" t="n">
        <v>200</v>
      </c>
      <c r="S63" s="9" t="str">
        <f aca="false">IF(G63="","",IF(SUMPRODUCT((RoomDB!$A$20:$A$74=G63)*(RoomDB!$B$20:$B$74="D"&amp;B63)*(INDEX(RoomDB!$C$20:$V$74,0,MATCH(C63,RoomDB!$C$19:$V$19,0))="R"))&gt;0,"OK","CONFLICT"))</f>
        <v>OK</v>
      </c>
    </row>
    <row r="64" customFormat="false" ht="15" hidden="false" customHeight="true" outlineLevel="0" collapsed="false">
      <c r="A64" s="4" t="n">
        <v>63</v>
      </c>
      <c r="B64" s="4" t="n">
        <v>5</v>
      </c>
      <c r="C64" s="5" t="s">
        <v>38</v>
      </c>
      <c r="D64" s="5" t="s">
        <v>112</v>
      </c>
      <c r="E64" s="6" t="s">
        <v>113</v>
      </c>
      <c r="F64" s="7" t="s">
        <v>16</v>
      </c>
      <c r="G64" s="7" t="s">
        <v>17</v>
      </c>
      <c r="H64" s="7" t="s">
        <v>18</v>
      </c>
      <c r="I64" s="7" t="s">
        <v>19</v>
      </c>
      <c r="J64" s="8" t="n">
        <v>200</v>
      </c>
      <c r="K64" s="8" t="n">
        <v>140</v>
      </c>
      <c r="S64" s="9" t="str">
        <f aca="false">IF(G64="","",IF(SUMPRODUCT((RoomDB!$A$20:$A$74=G64)*(RoomDB!$B$20:$B$74="D"&amp;B64)*(INDEX(RoomDB!$C$20:$V$74,0,MATCH(C64,RoomDB!$C$19:$V$19,0))="R"))&gt;0,"OK","CONFLICT"))</f>
        <v>OK</v>
      </c>
    </row>
  </sheetData>
  <autoFilter ref="A1:K64"/>
  <conditionalFormatting sqref="S2:S500">
    <cfRule type="cellIs" priority="2" operator="equal" aboveAverage="0" equalAverage="0" bottom="0" percent="0" rank="0" text="" dxfId="8">
      <formula>"CONFLICT"</formula>
    </cfRule>
    <cfRule type="cellIs" priority="3" operator="equal" aboveAverage="0" equalAverage="0" bottom="0" percent="0" rank="0" text="" dxfId="9">
      <formula>"OK"</formula>
    </cfRule>
  </conditionalFormatting>
  <conditionalFormatting sqref="G2:G500">
    <cfRule type="expression" priority="4" aboveAverage="0" equalAverage="0" bottom="0" percent="0" rank="0" text="" dxfId="8">
      <formula>S2="CONFLICT"</formula>
    </cfRule>
  </conditionalFormatting>
  <dataValidations count="1">
    <dataValidation allowBlank="true" error="Please select a room from the RoomDB inventory." errorStyle="stop" errorTitle="Invalid Room" operator="between" showDropDown="false" showErrorMessage="true" showInputMessage="false" sqref="G2:G500" type="list">
      <formula1>RoomDB!$Z$2:$Z$12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563EB"/>
    <pageSetUpPr fitToPage="false"/>
  </sheetPr>
  <dimension ref="A1:P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2" ySplit="1" topLeftCell="C2" activePane="bottomRight" state="frozen"/>
      <selection pane="topLeft" activeCell="A1" activeCellId="0" sqref="A1"/>
      <selection pane="topRight" activeCell="C1" activeCellId="0" sqref="C1"/>
      <selection pane="bottomLeft" activeCell="A2" activeCellId="0" sqref="A2"/>
      <selection pane="bottomRigh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1" width="8"/>
    <col collapsed="false" customWidth="true" hidden="false" outlineLevel="0" max="2" min="2" style="1" width="22"/>
    <col collapsed="false" customWidth="true" hidden="false" outlineLevel="0" max="3" min="3" style="1" width="28"/>
    <col collapsed="false" customWidth="true" hidden="false" outlineLevel="0" max="4" min="4" style="1" width="20"/>
    <col collapsed="false" customWidth="true" hidden="false" outlineLevel="0" max="5" min="5" style="1" width="18"/>
    <col collapsed="false" customWidth="true" hidden="false" outlineLevel="0" max="6" min="6" style="1" width="14"/>
    <col collapsed="false" customWidth="true" hidden="false" outlineLevel="0" max="7" min="7" style="1" width="10"/>
    <col collapsed="false" customWidth="true" hidden="false" outlineLevel="0" max="8" min="8" style="1" width="20"/>
    <col collapsed="false" customWidth="true" hidden="false" outlineLevel="0" max="13" min="9" style="1" width="9"/>
    <col collapsed="false" customWidth="true" hidden="false" outlineLevel="0" max="14" min="14" style="1" width="20"/>
    <col collapsed="false" customWidth="true" hidden="false" outlineLevel="0" max="15" min="15" style="1" width="16"/>
    <col collapsed="false" customWidth="true" hidden="false" outlineLevel="0" max="16" min="16" style="1" width="20"/>
  </cols>
  <sheetData>
    <row r="1" customFormat="false" ht="30" hidden="false" customHeight="true" outlineLevel="0" collapsed="false">
      <c r="A1" s="14" t="s">
        <v>0</v>
      </c>
      <c r="B1" s="14" t="s">
        <v>114</v>
      </c>
      <c r="C1" s="14" t="s">
        <v>115</v>
      </c>
      <c r="D1" s="14" t="s">
        <v>116</v>
      </c>
      <c r="E1" s="14" t="s">
        <v>117</v>
      </c>
      <c r="F1" s="14" t="s">
        <v>118</v>
      </c>
      <c r="G1" s="14" t="s">
        <v>119</v>
      </c>
      <c r="H1" s="14" t="s">
        <v>120</v>
      </c>
      <c r="I1" s="14" t="s">
        <v>121</v>
      </c>
      <c r="J1" s="14" t="s">
        <v>122</v>
      </c>
      <c r="K1" s="14" t="s">
        <v>123</v>
      </c>
      <c r="L1" s="14" t="s">
        <v>124</v>
      </c>
      <c r="M1" s="14" t="s">
        <v>125</v>
      </c>
      <c r="N1" s="14" t="s">
        <v>126</v>
      </c>
      <c r="O1" s="14" t="s">
        <v>127</v>
      </c>
      <c r="P1" s="14" t="s">
        <v>128</v>
      </c>
    </row>
    <row r="2" customFormat="false" ht="15" hidden="false" customHeight="true" outlineLevel="0" collapsed="false">
      <c r="A2" s="4" t="s">
        <v>129</v>
      </c>
      <c r="B2" s="7" t="s">
        <v>130</v>
      </c>
      <c r="C2" s="7" t="s">
        <v>131</v>
      </c>
      <c r="D2" s="7" t="s">
        <v>132</v>
      </c>
      <c r="E2" s="7" t="s">
        <v>133</v>
      </c>
      <c r="F2" s="15" t="s">
        <v>25</v>
      </c>
      <c r="G2" s="16" t="s">
        <v>134</v>
      </c>
      <c r="H2" s="7"/>
      <c r="I2" s="4" t="s">
        <v>135</v>
      </c>
      <c r="J2" s="4" t="s">
        <v>135</v>
      </c>
      <c r="K2" s="4" t="s">
        <v>135</v>
      </c>
      <c r="L2" s="4" t="s">
        <v>135</v>
      </c>
      <c r="M2" s="4" t="s">
        <v>135</v>
      </c>
      <c r="N2" s="6" t="s">
        <v>136</v>
      </c>
      <c r="O2" s="6" t="s">
        <v>137</v>
      </c>
      <c r="P2" s="6"/>
    </row>
    <row r="3" customFormat="false" ht="15" hidden="false" customHeight="true" outlineLevel="0" collapsed="false">
      <c r="A3" s="10" t="s">
        <v>138</v>
      </c>
      <c r="B3" s="13" t="s">
        <v>139</v>
      </c>
      <c r="C3" s="13" t="s">
        <v>140</v>
      </c>
      <c r="D3" s="13" t="s">
        <v>141</v>
      </c>
      <c r="E3" s="13" t="s">
        <v>142</v>
      </c>
      <c r="F3" s="17" t="s">
        <v>29</v>
      </c>
      <c r="G3" s="18" t="s">
        <v>119</v>
      </c>
      <c r="H3" s="19" t="s">
        <v>143</v>
      </c>
      <c r="I3" s="10" t="s">
        <v>135</v>
      </c>
      <c r="J3" s="10" t="s">
        <v>135</v>
      </c>
      <c r="K3" s="10" t="s">
        <v>135</v>
      </c>
      <c r="L3" s="10" t="s">
        <v>135</v>
      </c>
      <c r="M3" s="10" t="s">
        <v>144</v>
      </c>
      <c r="N3" s="12" t="s">
        <v>145</v>
      </c>
      <c r="O3" s="12" t="s">
        <v>146</v>
      </c>
      <c r="P3" s="12"/>
    </row>
    <row r="4" customFormat="false" ht="15" hidden="false" customHeight="true" outlineLevel="0" collapsed="false">
      <c r="A4" s="4" t="s">
        <v>147</v>
      </c>
      <c r="B4" s="7" t="s">
        <v>148</v>
      </c>
      <c r="C4" s="7" t="s">
        <v>149</v>
      </c>
      <c r="D4" s="7" t="s">
        <v>150</v>
      </c>
      <c r="E4" s="7" t="s">
        <v>151</v>
      </c>
      <c r="F4" s="20" t="s">
        <v>33</v>
      </c>
      <c r="G4" s="18" t="s">
        <v>119</v>
      </c>
      <c r="H4" s="21" t="s">
        <v>152</v>
      </c>
      <c r="I4" s="4" t="s">
        <v>135</v>
      </c>
      <c r="J4" s="4" t="s">
        <v>135</v>
      </c>
      <c r="K4" s="4" t="s">
        <v>135</v>
      </c>
      <c r="L4" s="4" t="s">
        <v>135</v>
      </c>
      <c r="M4" s="4" t="s">
        <v>135</v>
      </c>
      <c r="N4" s="6" t="s">
        <v>153</v>
      </c>
      <c r="O4" s="6" t="s">
        <v>154</v>
      </c>
      <c r="P4" s="6"/>
    </row>
    <row r="5" customFormat="false" ht="15" hidden="false" customHeight="true" outlineLevel="0" collapsed="false">
      <c r="A5" s="10" t="s">
        <v>155</v>
      </c>
      <c r="B5" s="13" t="s">
        <v>156</v>
      </c>
      <c r="C5" s="13" t="s">
        <v>157</v>
      </c>
      <c r="D5" s="13" t="s">
        <v>37</v>
      </c>
      <c r="E5" s="13" t="s">
        <v>158</v>
      </c>
      <c r="F5" s="22" t="s">
        <v>37</v>
      </c>
      <c r="G5" s="16" t="s">
        <v>134</v>
      </c>
      <c r="H5" s="13"/>
      <c r="I5" s="10" t="s">
        <v>135</v>
      </c>
      <c r="J5" s="10" t="s">
        <v>144</v>
      </c>
      <c r="K5" s="10" t="s">
        <v>135</v>
      </c>
      <c r="L5" s="10" t="s">
        <v>135</v>
      </c>
      <c r="M5" s="10" t="s">
        <v>135</v>
      </c>
      <c r="N5" s="12" t="s">
        <v>159</v>
      </c>
      <c r="O5" s="12" t="s">
        <v>160</v>
      </c>
      <c r="P5" s="12"/>
    </row>
    <row r="6" customFormat="false" ht="15" hidden="false" customHeight="true" outlineLevel="0" collapsed="false">
      <c r="A6" s="4" t="s">
        <v>161</v>
      </c>
      <c r="B6" s="7" t="s">
        <v>162</v>
      </c>
      <c r="C6" s="7" t="s">
        <v>163</v>
      </c>
      <c r="D6" s="7" t="s">
        <v>164</v>
      </c>
      <c r="E6" s="7" t="s">
        <v>165</v>
      </c>
      <c r="F6" s="15" t="s">
        <v>25</v>
      </c>
      <c r="G6" s="18" t="s">
        <v>119</v>
      </c>
      <c r="H6" s="21" t="s">
        <v>166</v>
      </c>
      <c r="I6" s="4" t="s">
        <v>135</v>
      </c>
      <c r="J6" s="4" t="s">
        <v>135</v>
      </c>
      <c r="K6" s="4" t="s">
        <v>144</v>
      </c>
      <c r="L6" s="4" t="s">
        <v>135</v>
      </c>
      <c r="M6" s="4" t="s">
        <v>135</v>
      </c>
      <c r="N6" s="6" t="s">
        <v>167</v>
      </c>
      <c r="O6" s="6" t="s">
        <v>168</v>
      </c>
      <c r="P6" s="6"/>
    </row>
    <row r="7" customFormat="false" ht="15" hidden="false" customHeight="true" outlineLevel="0" collapsed="false">
      <c r="A7" s="10" t="s">
        <v>169</v>
      </c>
      <c r="B7" s="13" t="s">
        <v>170</v>
      </c>
      <c r="C7" s="13" t="s">
        <v>171</v>
      </c>
      <c r="D7" s="13" t="s">
        <v>141</v>
      </c>
      <c r="E7" s="13" t="s">
        <v>172</v>
      </c>
      <c r="F7" s="17" t="s">
        <v>29</v>
      </c>
      <c r="G7" s="18" t="s">
        <v>119</v>
      </c>
      <c r="H7" s="19" t="s">
        <v>143</v>
      </c>
      <c r="I7" s="10" t="s">
        <v>135</v>
      </c>
      <c r="J7" s="10" t="s">
        <v>135</v>
      </c>
      <c r="K7" s="10" t="s">
        <v>135</v>
      </c>
      <c r="L7" s="10" t="s">
        <v>135</v>
      </c>
      <c r="M7" s="10" t="s">
        <v>135</v>
      </c>
      <c r="N7" s="12" t="s">
        <v>173</v>
      </c>
      <c r="O7" s="12" t="s">
        <v>174</v>
      </c>
      <c r="P7" s="12"/>
    </row>
    <row r="8" customFormat="false" ht="15" hidden="false" customHeight="true" outlineLevel="0" collapsed="false">
      <c r="A8" s="4" t="s">
        <v>175</v>
      </c>
      <c r="B8" s="7" t="s">
        <v>176</v>
      </c>
      <c r="C8" s="7" t="s">
        <v>177</v>
      </c>
      <c r="D8" s="7" t="s">
        <v>150</v>
      </c>
      <c r="E8" s="7" t="s">
        <v>178</v>
      </c>
      <c r="F8" s="20" t="s">
        <v>33</v>
      </c>
      <c r="G8" s="18" t="s">
        <v>119</v>
      </c>
      <c r="H8" s="21" t="s">
        <v>152</v>
      </c>
      <c r="I8" s="4" t="s">
        <v>135</v>
      </c>
      <c r="J8" s="4" t="s">
        <v>135</v>
      </c>
      <c r="K8" s="4" t="s">
        <v>135</v>
      </c>
      <c r="L8" s="4" t="s">
        <v>144</v>
      </c>
      <c r="M8" s="4" t="s">
        <v>135</v>
      </c>
      <c r="N8" s="6" t="s">
        <v>179</v>
      </c>
      <c r="O8" s="6" t="s">
        <v>180</v>
      </c>
      <c r="P8" s="6"/>
    </row>
    <row r="9" customFormat="false" ht="15" hidden="false" customHeight="true" outlineLevel="0" collapsed="false">
      <c r="A9" s="10" t="s">
        <v>181</v>
      </c>
      <c r="B9" s="13" t="s">
        <v>182</v>
      </c>
      <c r="C9" s="13" t="s">
        <v>183</v>
      </c>
      <c r="D9" s="13" t="s">
        <v>37</v>
      </c>
      <c r="E9" s="13" t="s">
        <v>184</v>
      </c>
      <c r="F9" s="22" t="s">
        <v>37</v>
      </c>
      <c r="G9" s="18" t="s">
        <v>119</v>
      </c>
      <c r="H9" s="19" t="s">
        <v>185</v>
      </c>
      <c r="I9" s="10" t="s">
        <v>135</v>
      </c>
      <c r="J9" s="10" t="s">
        <v>135</v>
      </c>
      <c r="K9" s="10" t="s">
        <v>135</v>
      </c>
      <c r="L9" s="10" t="s">
        <v>135</v>
      </c>
      <c r="M9" s="10" t="s">
        <v>135</v>
      </c>
      <c r="N9" s="12" t="s">
        <v>186</v>
      </c>
      <c r="O9" s="12" t="s">
        <v>187</v>
      </c>
      <c r="P9" s="12"/>
    </row>
    <row r="10" customFormat="false" ht="15" hidden="false" customHeight="true" outlineLevel="0" collapsed="false">
      <c r="A10" s="4" t="s">
        <v>188</v>
      </c>
      <c r="B10" s="7" t="s">
        <v>189</v>
      </c>
      <c r="C10" s="7" t="s">
        <v>190</v>
      </c>
      <c r="D10" s="7" t="s">
        <v>141</v>
      </c>
      <c r="E10" s="7" t="s">
        <v>191</v>
      </c>
      <c r="F10" s="17" t="s">
        <v>29</v>
      </c>
      <c r="G10" s="18" t="s">
        <v>119</v>
      </c>
      <c r="H10" s="21" t="s">
        <v>166</v>
      </c>
      <c r="I10" s="4" t="s">
        <v>144</v>
      </c>
      <c r="J10" s="4" t="s">
        <v>135</v>
      </c>
      <c r="K10" s="4" t="s">
        <v>135</v>
      </c>
      <c r="L10" s="4" t="s">
        <v>135</v>
      </c>
      <c r="M10" s="4" t="s">
        <v>135</v>
      </c>
      <c r="N10" s="6" t="s">
        <v>192</v>
      </c>
      <c r="O10" s="6" t="s">
        <v>193</v>
      </c>
      <c r="P10" s="6"/>
    </row>
    <row r="11" customFormat="false" ht="15" hidden="false" customHeight="true" outlineLevel="0" collapsed="false">
      <c r="A11" s="10" t="s">
        <v>194</v>
      </c>
      <c r="B11" s="13" t="s">
        <v>195</v>
      </c>
      <c r="C11" s="13" t="s">
        <v>196</v>
      </c>
      <c r="D11" s="13" t="s">
        <v>164</v>
      </c>
      <c r="E11" s="13" t="s">
        <v>197</v>
      </c>
      <c r="F11" s="15" t="s">
        <v>25</v>
      </c>
      <c r="G11" s="18" t="s">
        <v>119</v>
      </c>
      <c r="H11" s="19" t="s">
        <v>143</v>
      </c>
      <c r="I11" s="10" t="s">
        <v>135</v>
      </c>
      <c r="J11" s="10" t="s">
        <v>135</v>
      </c>
      <c r="K11" s="10" t="s">
        <v>135</v>
      </c>
      <c r="L11" s="10" t="s">
        <v>135</v>
      </c>
      <c r="M11" s="10" t="s">
        <v>135</v>
      </c>
      <c r="N11" s="12" t="s">
        <v>198</v>
      </c>
      <c r="O11" s="12" t="s">
        <v>199</v>
      </c>
      <c r="P11" s="12"/>
    </row>
    <row r="12" customFormat="false" ht="15" hidden="false" customHeight="true" outlineLevel="0" collapsed="false">
      <c r="A12" s="4" t="s">
        <v>200</v>
      </c>
      <c r="B12" s="7" t="s">
        <v>201</v>
      </c>
      <c r="C12" s="7" t="s">
        <v>202</v>
      </c>
      <c r="D12" s="7" t="s">
        <v>141</v>
      </c>
      <c r="E12" s="7" t="s">
        <v>203</v>
      </c>
      <c r="F12" s="17" t="s">
        <v>29</v>
      </c>
      <c r="G12" s="18" t="s">
        <v>119</v>
      </c>
      <c r="H12" s="21" t="s">
        <v>152</v>
      </c>
      <c r="I12" s="4" t="s">
        <v>135</v>
      </c>
      <c r="J12" s="4" t="s">
        <v>135</v>
      </c>
      <c r="K12" s="4" t="s">
        <v>135</v>
      </c>
      <c r="L12" s="4" t="s">
        <v>135</v>
      </c>
      <c r="M12" s="4" t="s">
        <v>144</v>
      </c>
      <c r="N12" s="6" t="s">
        <v>204</v>
      </c>
      <c r="O12" s="6" t="s">
        <v>205</v>
      </c>
      <c r="P12" s="6"/>
    </row>
    <row r="13" customFormat="false" ht="15" hidden="false" customHeight="true" outlineLevel="0" collapsed="false">
      <c r="A13" s="10" t="s">
        <v>206</v>
      </c>
      <c r="B13" s="13" t="s">
        <v>207</v>
      </c>
      <c r="C13" s="13" t="s">
        <v>208</v>
      </c>
      <c r="D13" s="13" t="s">
        <v>150</v>
      </c>
      <c r="E13" s="13" t="s">
        <v>209</v>
      </c>
      <c r="F13" s="20" t="s">
        <v>33</v>
      </c>
      <c r="G13" s="18" t="s">
        <v>119</v>
      </c>
      <c r="H13" s="19" t="s">
        <v>185</v>
      </c>
      <c r="I13" s="10" t="s">
        <v>135</v>
      </c>
      <c r="J13" s="10" t="s">
        <v>144</v>
      </c>
      <c r="K13" s="10" t="s">
        <v>135</v>
      </c>
      <c r="L13" s="10" t="s">
        <v>135</v>
      </c>
      <c r="M13" s="10" t="s">
        <v>135</v>
      </c>
      <c r="N13" s="12" t="s">
        <v>210</v>
      </c>
      <c r="O13" s="12" t="s">
        <v>211</v>
      </c>
      <c r="P13" s="12"/>
    </row>
    <row r="14" customFormat="false" ht="15" hidden="false" customHeight="true" outlineLevel="0" collapsed="false">
      <c r="A14" s="4" t="s">
        <v>212</v>
      </c>
      <c r="B14" s="7" t="s">
        <v>213</v>
      </c>
      <c r="C14" s="7" t="s">
        <v>214</v>
      </c>
      <c r="D14" s="7" t="s">
        <v>215</v>
      </c>
      <c r="E14" s="7" t="s">
        <v>216</v>
      </c>
      <c r="F14" s="22" t="s">
        <v>37</v>
      </c>
      <c r="G14" s="16" t="s">
        <v>134</v>
      </c>
      <c r="H14" s="7"/>
      <c r="I14" s="4" t="s">
        <v>135</v>
      </c>
      <c r="J14" s="4" t="s">
        <v>135</v>
      </c>
      <c r="K14" s="4" t="s">
        <v>135</v>
      </c>
      <c r="L14" s="4" t="s">
        <v>135</v>
      </c>
      <c r="M14" s="4" t="s">
        <v>135</v>
      </c>
      <c r="N14" s="6" t="s">
        <v>217</v>
      </c>
      <c r="O14" s="6" t="s">
        <v>218</v>
      </c>
      <c r="P14" s="6"/>
    </row>
    <row r="15" customFormat="false" ht="15" hidden="false" customHeight="true" outlineLevel="0" collapsed="false">
      <c r="A15" s="10" t="s">
        <v>219</v>
      </c>
      <c r="B15" s="13" t="s">
        <v>220</v>
      </c>
      <c r="C15" s="13" t="s">
        <v>221</v>
      </c>
      <c r="D15" s="13" t="s">
        <v>222</v>
      </c>
      <c r="E15" s="13" t="s">
        <v>223</v>
      </c>
      <c r="F15" s="17" t="s">
        <v>29</v>
      </c>
      <c r="G15" s="18" t="s">
        <v>119</v>
      </c>
      <c r="H15" s="19" t="s">
        <v>166</v>
      </c>
      <c r="I15" s="10" t="s">
        <v>135</v>
      </c>
      <c r="J15" s="10" t="s">
        <v>135</v>
      </c>
      <c r="K15" s="10" t="s">
        <v>135</v>
      </c>
      <c r="L15" s="10" t="s">
        <v>135</v>
      </c>
      <c r="M15" s="10" t="s">
        <v>135</v>
      </c>
      <c r="N15" s="12" t="s">
        <v>224</v>
      </c>
      <c r="O15" s="12" t="s">
        <v>225</v>
      </c>
      <c r="P15" s="12"/>
    </row>
    <row r="16" customFormat="false" ht="15" hidden="false" customHeight="true" outlineLevel="0" collapsed="false">
      <c r="A16" s="4" t="s">
        <v>226</v>
      </c>
      <c r="B16" s="7" t="s">
        <v>227</v>
      </c>
      <c r="C16" s="7" t="s">
        <v>228</v>
      </c>
      <c r="D16" s="7" t="s">
        <v>229</v>
      </c>
      <c r="E16" s="7" t="s">
        <v>230</v>
      </c>
      <c r="F16" s="22" t="s">
        <v>37</v>
      </c>
      <c r="G16" s="18" t="s">
        <v>119</v>
      </c>
      <c r="H16" s="21" t="s">
        <v>152</v>
      </c>
      <c r="I16" s="4" t="s">
        <v>135</v>
      </c>
      <c r="J16" s="4" t="s">
        <v>135</v>
      </c>
      <c r="K16" s="4" t="s">
        <v>144</v>
      </c>
      <c r="L16" s="4" t="s">
        <v>135</v>
      </c>
      <c r="M16" s="4" t="s">
        <v>135</v>
      </c>
      <c r="N16" s="6" t="s">
        <v>231</v>
      </c>
      <c r="O16" s="6" t="s">
        <v>232</v>
      </c>
      <c r="P16" s="6"/>
    </row>
    <row r="17" customFormat="false" ht="15" hidden="false" customHeight="true" outlineLevel="0" collapsed="false">
      <c r="A17" s="10" t="s">
        <v>233</v>
      </c>
      <c r="B17" s="13" t="s">
        <v>234</v>
      </c>
      <c r="C17" s="13" t="s">
        <v>235</v>
      </c>
      <c r="D17" s="13" t="s">
        <v>141</v>
      </c>
      <c r="E17" s="13" t="s">
        <v>236</v>
      </c>
      <c r="F17" s="17" t="s">
        <v>29</v>
      </c>
      <c r="G17" s="18" t="s">
        <v>119</v>
      </c>
      <c r="H17" s="19" t="s">
        <v>143</v>
      </c>
      <c r="I17" s="10" t="s">
        <v>135</v>
      </c>
      <c r="J17" s="10" t="s">
        <v>135</v>
      </c>
      <c r="K17" s="10" t="s">
        <v>135</v>
      </c>
      <c r="L17" s="10" t="s">
        <v>135</v>
      </c>
      <c r="M17" s="10" t="s">
        <v>135</v>
      </c>
      <c r="N17" s="12" t="s">
        <v>237</v>
      </c>
      <c r="O17" s="12" t="s">
        <v>238</v>
      </c>
      <c r="P17" s="12"/>
    </row>
    <row r="18" customFormat="false" ht="15" hidden="false" customHeight="true" outlineLevel="0" collapsed="false">
      <c r="A18" s="4" t="s">
        <v>239</v>
      </c>
      <c r="B18" s="7" t="s">
        <v>240</v>
      </c>
      <c r="C18" s="7" t="s">
        <v>241</v>
      </c>
      <c r="D18" s="7" t="s">
        <v>242</v>
      </c>
      <c r="E18" s="7" t="s">
        <v>243</v>
      </c>
      <c r="F18" s="20" t="s">
        <v>33</v>
      </c>
      <c r="G18" s="18" t="s">
        <v>119</v>
      </c>
      <c r="H18" s="21" t="s">
        <v>185</v>
      </c>
      <c r="I18" s="4" t="s">
        <v>135</v>
      </c>
      <c r="J18" s="4" t="s">
        <v>135</v>
      </c>
      <c r="K18" s="4" t="s">
        <v>135</v>
      </c>
      <c r="L18" s="4" t="s">
        <v>135</v>
      </c>
      <c r="M18" s="4" t="s">
        <v>144</v>
      </c>
      <c r="N18" s="6" t="s">
        <v>244</v>
      </c>
      <c r="O18" s="6" t="s">
        <v>245</v>
      </c>
      <c r="P18" s="6"/>
    </row>
    <row r="19" customFormat="false" ht="15" hidden="false" customHeight="true" outlineLevel="0" collapsed="false">
      <c r="A19" s="10" t="s">
        <v>246</v>
      </c>
      <c r="B19" s="13" t="s">
        <v>247</v>
      </c>
      <c r="C19" s="13" t="s">
        <v>248</v>
      </c>
      <c r="D19" s="13" t="s">
        <v>37</v>
      </c>
      <c r="E19" s="13" t="s">
        <v>249</v>
      </c>
      <c r="F19" s="22" t="s">
        <v>37</v>
      </c>
      <c r="G19" s="18" t="s">
        <v>119</v>
      </c>
      <c r="H19" s="19" t="s">
        <v>143</v>
      </c>
      <c r="I19" s="10" t="s">
        <v>135</v>
      </c>
      <c r="J19" s="10" t="s">
        <v>135</v>
      </c>
      <c r="K19" s="10" t="s">
        <v>135</v>
      </c>
      <c r="L19" s="10" t="s">
        <v>135</v>
      </c>
      <c r="M19" s="10" t="s">
        <v>135</v>
      </c>
      <c r="N19" s="12" t="s">
        <v>250</v>
      </c>
      <c r="O19" s="12" t="s">
        <v>251</v>
      </c>
      <c r="P19" s="12"/>
    </row>
    <row r="20" customFormat="false" ht="15" hidden="false" customHeight="true" outlineLevel="0" collapsed="false">
      <c r="A20" s="4" t="s">
        <v>252</v>
      </c>
      <c r="B20" s="7" t="s">
        <v>253</v>
      </c>
      <c r="C20" s="7" t="s">
        <v>254</v>
      </c>
      <c r="D20" s="7" t="s">
        <v>255</v>
      </c>
      <c r="E20" s="7" t="s">
        <v>256</v>
      </c>
      <c r="F20" s="15" t="s">
        <v>25</v>
      </c>
      <c r="G20" s="18" t="s">
        <v>119</v>
      </c>
      <c r="H20" s="21" t="s">
        <v>166</v>
      </c>
      <c r="I20" s="4" t="s">
        <v>135</v>
      </c>
      <c r="J20" s="4" t="s">
        <v>135</v>
      </c>
      <c r="K20" s="4" t="s">
        <v>135</v>
      </c>
      <c r="L20" s="4" t="s">
        <v>144</v>
      </c>
      <c r="M20" s="4" t="s">
        <v>135</v>
      </c>
      <c r="N20" s="6" t="s">
        <v>257</v>
      </c>
      <c r="O20" s="6" t="s">
        <v>258</v>
      </c>
      <c r="P20" s="6"/>
    </row>
    <row r="21" customFormat="false" ht="15" hidden="false" customHeight="true" outlineLevel="0" collapsed="false">
      <c r="A21" s="10" t="s">
        <v>259</v>
      </c>
      <c r="B21" s="13" t="s">
        <v>260</v>
      </c>
      <c r="C21" s="13" t="s">
        <v>261</v>
      </c>
      <c r="D21" s="13" t="s">
        <v>141</v>
      </c>
      <c r="E21" s="13" t="s">
        <v>262</v>
      </c>
      <c r="F21" s="17" t="s">
        <v>29</v>
      </c>
      <c r="G21" s="16" t="s">
        <v>134</v>
      </c>
      <c r="H21" s="13"/>
      <c r="I21" s="10" t="s">
        <v>135</v>
      </c>
      <c r="J21" s="10" t="s">
        <v>135</v>
      </c>
      <c r="K21" s="10" t="s">
        <v>135</v>
      </c>
      <c r="L21" s="10" t="s">
        <v>135</v>
      </c>
      <c r="M21" s="10" t="s">
        <v>135</v>
      </c>
      <c r="N21" s="12" t="s">
        <v>263</v>
      </c>
      <c r="O21" s="12" t="s">
        <v>264</v>
      </c>
      <c r="P21" s="12"/>
    </row>
  </sheetData>
  <autoFilter ref="A1:P21"/>
  <conditionalFormatting sqref="I2:I51">
    <cfRule type="cellIs" priority="2" operator="equal" aboveAverage="0" equalAverage="0" bottom="0" percent="0" rank="0" text="" dxfId="21">
      <formula>"Yes"</formula>
    </cfRule>
    <cfRule type="cellIs" priority="3" operator="equal" aboveAverage="0" equalAverage="0" bottom="0" percent="0" rank="0" text="" dxfId="22">
      <formula>"No"</formula>
    </cfRule>
  </conditionalFormatting>
  <conditionalFormatting sqref="J2:J51">
    <cfRule type="cellIs" priority="4" operator="equal" aboveAverage="0" equalAverage="0" bottom="0" percent="0" rank="0" text="" dxfId="21">
      <formula>"Yes"</formula>
    </cfRule>
    <cfRule type="cellIs" priority="5" operator="equal" aboveAverage="0" equalAverage="0" bottom="0" percent="0" rank="0" text="" dxfId="22">
      <formula>"No"</formula>
    </cfRule>
  </conditionalFormatting>
  <conditionalFormatting sqref="K2:K51">
    <cfRule type="cellIs" priority="6" operator="equal" aboveAverage="0" equalAverage="0" bottom="0" percent="0" rank="0" text="" dxfId="21">
      <formula>"Yes"</formula>
    </cfRule>
    <cfRule type="cellIs" priority="7" operator="equal" aboveAverage="0" equalAverage="0" bottom="0" percent="0" rank="0" text="" dxfId="22">
      <formula>"No"</formula>
    </cfRule>
  </conditionalFormatting>
  <conditionalFormatting sqref="L2:L51">
    <cfRule type="cellIs" priority="8" operator="equal" aboveAverage="0" equalAverage="0" bottom="0" percent="0" rank="0" text="" dxfId="21">
      <formula>"Yes"</formula>
    </cfRule>
    <cfRule type="cellIs" priority="9" operator="equal" aboveAverage="0" equalAverage="0" bottom="0" percent="0" rank="0" text="" dxfId="22">
      <formula>"No"</formula>
    </cfRule>
  </conditionalFormatting>
  <conditionalFormatting sqref="M2:M51">
    <cfRule type="cellIs" priority="10" operator="equal" aboveAverage="0" equalAverage="0" bottom="0" percent="0" rank="0" text="" dxfId="21">
      <formula>"Yes"</formula>
    </cfRule>
    <cfRule type="cellIs" priority="11" operator="equal" aboveAverage="0" equalAverage="0" bottom="0" percent="0" rank="0" text="" dxfId="22">
      <formula>"No"</formula>
    </cfRule>
  </conditionalFormatting>
  <conditionalFormatting sqref="G2:G51">
    <cfRule type="cellIs" priority="12" operator="equal" aboveAverage="0" equalAverage="0" bottom="0" percent="0" rank="0" text="" dxfId="23">
      <formula>"Non-Local"</formula>
    </cfRule>
    <cfRule type="cellIs" priority="13" operator="equal" aboveAverage="0" equalAverage="0" bottom="0" percent="0" rank="0" text="" dxfId="21">
      <formula>"Local"</formula>
    </cfRule>
  </conditionalFormatting>
  <dataValidations count="3">
    <dataValidation allowBlank="true" errorStyle="stop" operator="between" showDropDown="false" showErrorMessage="false" showInputMessage="false" sqref="I2:M51" type="list">
      <formula1>"Yes,No"</formula1>
      <formula2>0</formula2>
    </dataValidation>
    <dataValidation allowBlank="true" errorStyle="stop" operator="between" showDropDown="false" showErrorMessage="false" showInputMessage="false" sqref="G2:G51" type="list">
      <formula1>"Local,Non-Local"</formula1>
      <formula2>0</formula2>
    </dataValidation>
    <dataValidation allowBlank="true" error="Please select a track from the agenda. If your track is missing, add it to SessionDB first." errorStyle="stop" errorTitle="Invalid Track" operator="between" prompt="Tracks auto-populated from SessionDB" promptTitle="Select Track" showDropDown="false" showErrorMessage="false" showInputMessage="false" sqref="F2:F51" type="list">
      <formula1>SessionDB!$R$2:$R$20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C3AED"/>
    <pageSetUpPr fitToPage="false"/>
  </sheetPr>
  <dimension ref="A1:H5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1" width="30"/>
    <col collapsed="false" customWidth="true" hidden="false" outlineLevel="0" max="2" min="2" style="1" width="14"/>
    <col collapsed="false" customWidth="true" hidden="false" outlineLevel="0" max="3" min="3" style="1" width="4"/>
    <col collapsed="false" customWidth="true" hidden="false" outlineLevel="0" max="4" min="4" style="1" width="30"/>
    <col collapsed="false" customWidth="true" hidden="false" outlineLevel="0" max="5" min="5" style="1" width="14"/>
    <col collapsed="false" customWidth="true" hidden="true" outlineLevel="0" max="8" min="7" style="1" width="2"/>
  </cols>
  <sheetData>
    <row r="1" customFormat="false" ht="39.75" hidden="false" customHeight="true" outlineLevel="0" collapsed="false">
      <c r="A1" s="23" t="s">
        <v>265</v>
      </c>
      <c r="B1" s="23"/>
      <c r="C1" s="23"/>
      <c r="D1" s="23"/>
      <c r="E1" s="23"/>
      <c r="G1" s="1" t="s">
        <v>266</v>
      </c>
      <c r="H1" s="1" t="s">
        <v>267</v>
      </c>
    </row>
    <row r="2" customFormat="false" ht="15" hidden="false" customHeight="true" outlineLevel="0" collapsed="false">
      <c r="G2" s="1" t="e">
        <f aca="false">sort(unique(filter(ParticipantsDB!H2:H200,(ParticipantsDB!H2:H200&lt;&gt;"")*(LEN(ParticipantsDB!H2:H200)&gt;0))))</f>
        <v>#NAME?</v>
      </c>
      <c r="H2" s="1" t="e">
        <f aca="false">sort(unique(filter(ParticipantsDB!D2:D200,(ParticipantsDB!D2:D200&lt;&gt;"")*(LEN(ParticipantsDB!D2:D200)&gt;0))))</f>
        <v>#NAME?</v>
      </c>
    </row>
    <row r="3" customFormat="false" ht="31.5" hidden="false" customHeight="true" outlineLevel="0" collapsed="false">
      <c r="A3" s="24" t="s">
        <v>268</v>
      </c>
      <c r="B3" s="24"/>
      <c r="D3" s="25" t="s">
        <v>269</v>
      </c>
      <c r="E3" s="25"/>
    </row>
    <row r="4" customFormat="false" ht="15" hidden="false" customHeight="true" outlineLevel="0" collapsed="false">
      <c r="A4" s="26" t="s">
        <v>270</v>
      </c>
      <c r="B4" s="27" t="n">
        <f aca="false">COUNTA(ParticipantsDB!A2:A200)</f>
        <v>20</v>
      </c>
      <c r="D4" s="26" t="str">
        <f aca="false">IFERROR(INDEX($G$2:$G$50,1),"")</f>
        <v/>
      </c>
      <c r="E4" s="28" t="str">
        <f aca="false">IF(D4="","",COUNTIF(ParticipantsDB!H2:H200,D4))</f>
        <v/>
      </c>
    </row>
    <row r="5" customFormat="false" ht="15" hidden="false" customHeight="true" outlineLevel="0" collapsed="false">
      <c r="A5" s="29" t="s">
        <v>271</v>
      </c>
      <c r="B5" s="30" t="n">
        <f aca="false">COUNTIF(ParticipantsDB!G2:G200,"Local")</f>
        <v>4</v>
      </c>
      <c r="D5" s="29" t="n">
        <f aca="false">IFERROR(INDEX($G$2:$G$50,2),"")</f>
        <v>0</v>
      </c>
      <c r="E5" s="31" t="str">
        <f aca="false">IF(D5="","",COUNTIF(ParticipantsDB!H2:H200,D5))</f>
        <v/>
      </c>
    </row>
    <row r="6" customFormat="false" ht="15" hidden="false" customHeight="true" outlineLevel="0" collapsed="false">
      <c r="A6" s="26" t="s">
        <v>272</v>
      </c>
      <c r="B6" s="27" t="n">
        <f aca="false">COUNTIF(ParticipantsDB!G2:G200,"Non-Local")</f>
        <v>16</v>
      </c>
      <c r="D6" s="26" t="n">
        <f aca="false">IFERROR(INDEX($G$2:$G$50,3),"")</f>
        <v>0</v>
      </c>
      <c r="E6" s="28" t="str">
        <f aca="false">IF(D6="","",COUNTIF(ParticipantsDB!H2:H200,D6))</f>
        <v/>
      </c>
    </row>
    <row r="7" customFormat="false" ht="15" hidden="false" customHeight="true" outlineLevel="0" collapsed="false">
      <c r="A7" s="29" t="s">
        <v>273</v>
      </c>
      <c r="B7" s="32" t="n">
        <f aca="false">IFERROR(COUNTIF(ParticipantsDB!G2:G200,"Non-Local")/COUNTA(ParticipantsDB!A2:A200),0)</f>
        <v>0.8</v>
      </c>
      <c r="D7" s="29" t="n">
        <f aca="false">IFERROR(INDEX($G$2:$G$50,4),"")</f>
        <v>0</v>
      </c>
      <c r="E7" s="31" t="str">
        <f aca="false">IF(D7="","",COUNTIF(ParticipantsDB!H2:H200,D7))</f>
        <v/>
      </c>
    </row>
    <row r="8" customFormat="false" ht="15" hidden="false" customHeight="true" outlineLevel="0" collapsed="false">
      <c r="D8" s="26" t="n">
        <f aca="false">IFERROR(INDEX($G$2:$G$50,5),"")</f>
        <v>0</v>
      </c>
      <c r="E8" s="28" t="str">
        <f aca="false">IF(D8="","",COUNTIF(ParticipantsDB!H2:H200,D8))</f>
        <v/>
      </c>
    </row>
    <row r="9" customFormat="false" ht="31.5" hidden="false" customHeight="true" outlineLevel="0" collapsed="false">
      <c r="A9" s="33" t="s">
        <v>274</v>
      </c>
      <c r="B9" s="33"/>
      <c r="D9" s="29" t="n">
        <f aca="false">IFERROR(INDEX($G$2:$G$50,6),"")</f>
        <v>0</v>
      </c>
      <c r="E9" s="31" t="str">
        <f aca="false">IF(D9="","",COUNTIF(ParticipantsDB!H2:H200,D9))</f>
        <v/>
      </c>
    </row>
    <row r="10" customFormat="false" ht="15" hidden="false" customHeight="true" outlineLevel="0" collapsed="false">
      <c r="A10" s="26" t="s">
        <v>275</v>
      </c>
      <c r="B10" s="27" t="n">
        <f aca="false">COUNTIF(ParticipantsDB!I2:I200,"Yes")</f>
        <v>19</v>
      </c>
      <c r="D10" s="26" t="n">
        <f aca="false">IFERROR(INDEX($G$2:$G$50,7),"")</f>
        <v>0</v>
      </c>
      <c r="E10" s="28" t="str">
        <f aca="false">IF(D10="","",COUNTIF(ParticipantsDB!H2:H200,D10))</f>
        <v/>
      </c>
    </row>
    <row r="11" customFormat="false" ht="15" hidden="false" customHeight="true" outlineLevel="0" collapsed="false">
      <c r="A11" s="29" t="s">
        <v>276</v>
      </c>
      <c r="B11" s="30" t="n">
        <f aca="false">COUNTIF(ParticipantsDB!J2:J200,"Yes")</f>
        <v>18</v>
      </c>
      <c r="D11" s="29" t="n">
        <f aca="false">IFERROR(INDEX($G$2:$G$50,8),"")</f>
        <v>0</v>
      </c>
      <c r="E11" s="31" t="str">
        <f aca="false">IF(D11="","",COUNTIF(ParticipantsDB!H2:H200,D11))</f>
        <v/>
      </c>
    </row>
    <row r="12" customFormat="false" ht="15" hidden="false" customHeight="true" outlineLevel="0" collapsed="false">
      <c r="A12" s="26" t="s">
        <v>277</v>
      </c>
      <c r="B12" s="27" t="n">
        <f aca="false">COUNTIF(ParticipantsDB!K2:K200,"Yes")</f>
        <v>18</v>
      </c>
      <c r="D12" s="26" t="n">
        <f aca="false">IFERROR(INDEX($G$2:$G$50,9),"")</f>
        <v>0</v>
      </c>
      <c r="E12" s="28" t="str">
        <f aca="false">IF(D12="","",COUNTIF(ParticipantsDB!H2:H200,D12))</f>
        <v/>
      </c>
    </row>
    <row r="13" customFormat="false" ht="15" hidden="false" customHeight="true" outlineLevel="0" collapsed="false">
      <c r="A13" s="29" t="s">
        <v>278</v>
      </c>
      <c r="B13" s="30" t="n">
        <f aca="false">COUNTIF(ParticipantsDB!L2:L200,"Yes")</f>
        <v>18</v>
      </c>
      <c r="D13" s="29" t="n">
        <f aca="false">IFERROR(INDEX($G$2:$G$50,10),"")</f>
        <v>0</v>
      </c>
      <c r="E13" s="31" t="str">
        <f aca="false">IF(D13="","",COUNTIF(ParticipantsDB!H2:H200,D13))</f>
        <v/>
      </c>
    </row>
    <row r="14" customFormat="false" ht="15" hidden="false" customHeight="true" outlineLevel="0" collapsed="false">
      <c r="A14" s="26" t="s">
        <v>279</v>
      </c>
      <c r="B14" s="27" t="n">
        <f aca="false">COUNTIF(ParticipantsDB!M2:M200,"Yes")</f>
        <v>17</v>
      </c>
      <c r="D14" s="26" t="s">
        <v>280</v>
      </c>
      <c r="E14" s="27" t="n">
        <f aca="false">COUNTIFS(ParticipantsDB!G2:G200,"Non-Local",ParticipantsDB!H2:H200,"")</f>
        <v>0</v>
      </c>
    </row>
    <row r="15" customFormat="false" ht="15" hidden="false" customHeight="true" outlineLevel="0" collapsed="false">
      <c r="A15" s="29" t="s">
        <v>281</v>
      </c>
      <c r="B15" s="30" t="n">
        <f aca="false">MAX(B10:B14)</f>
        <v>19</v>
      </c>
      <c r="D15" s="29" t="s">
        <v>282</v>
      </c>
      <c r="E15" s="30" t="n">
        <f aca="false">COUNTIF(ParticipantsDB!G2:G200,"Non-Local")</f>
        <v>16</v>
      </c>
    </row>
    <row r="16" customFormat="false" ht="15" hidden="false" customHeight="true" outlineLevel="0" collapsed="false">
      <c r="A16" s="26" t="s">
        <v>283</v>
      </c>
      <c r="B16" s="27" t="n">
        <f aca="false">MIN(B10:B14)</f>
        <v>17</v>
      </c>
    </row>
    <row r="17" customFormat="false" ht="31.5" hidden="false" customHeight="true" outlineLevel="0" collapsed="false">
      <c r="A17" s="29" t="s">
        <v>284</v>
      </c>
      <c r="B17" s="34" t="n">
        <f aca="false">IFERROR(AVERAGE(B10:B14),0)</f>
        <v>18</v>
      </c>
      <c r="D17" s="35" t="s">
        <v>285</v>
      </c>
      <c r="E17" s="35"/>
    </row>
    <row r="18" customFormat="false" ht="15" hidden="false" customHeight="true" outlineLevel="0" collapsed="false">
      <c r="D18" s="26" t="str">
        <f aca="false">IF(IFERROR(INDEX(SessionDB!$R$2:$R$50,1),"")="","",IFERROR(INDEX(SessionDB!$R$2:$R$50,1),"")&amp;" — Local")</f>
        <v/>
      </c>
      <c r="E18" s="28" t="str">
        <f aca="false">IF(D18="","",COUNTIFS(ParticipantsDB!F2:F200,IFERROR(INDEX(SessionDB!$R$2:$R$50,1),""),ParticipantsDB!G2:G200,"Local"))</f>
        <v/>
      </c>
    </row>
    <row r="19" customFormat="false" ht="31.5" hidden="false" customHeight="true" outlineLevel="0" collapsed="false">
      <c r="A19" s="36" t="s">
        <v>286</v>
      </c>
      <c r="B19" s="36"/>
      <c r="D19" s="29" t="str">
        <f aca="false">IF(IFERROR(INDEX(SessionDB!$R$2:$R$50,1),"")="","",IFERROR(INDEX(SessionDB!$R$2:$R$50,1),"")&amp;" — Non-Local")</f>
        <v/>
      </c>
      <c r="E19" s="31" t="str">
        <f aca="false">IF(D19="","",COUNTIFS(ParticipantsDB!F2:F200,IFERROR(INDEX(SessionDB!$R$2:$R$50,1),""),ParticipantsDB!G2:G200,"Non-Local"))</f>
        <v/>
      </c>
    </row>
    <row r="20" customFormat="false" ht="15" hidden="false" customHeight="true" outlineLevel="0" collapsed="false">
      <c r="A20" s="26" t="str">
        <f aca="false">IFERROR(INDEX(SessionDB!$R$2:$R$50,1),"")</f>
        <v/>
      </c>
      <c r="B20" s="28" t="str">
        <f aca="false">IF(A20="","",COUNTIF(ParticipantsDB!F2:F200,A20))</f>
        <v/>
      </c>
      <c r="D20" s="26" t="str">
        <f aca="false">IF(IFERROR(INDEX(SessionDB!$R$2:$R$50,2),"")="","",IFERROR(INDEX(SessionDB!$R$2:$R$50,2),"")&amp;" — Local")</f>
        <v/>
      </c>
      <c r="E20" s="28" t="str">
        <f aca="false">IF(D20="","",COUNTIFS(ParticipantsDB!F2:F200,IFERROR(INDEX(SessionDB!$R$2:$R$50,2),""),ParticipantsDB!G2:G200,"Local"))</f>
        <v/>
      </c>
    </row>
    <row r="21" customFormat="false" ht="15" hidden="false" customHeight="true" outlineLevel="0" collapsed="false">
      <c r="A21" s="29" t="n">
        <f aca="false">IFERROR(INDEX(SessionDB!$R$2:$R$50,2),"")</f>
        <v>0</v>
      </c>
      <c r="B21" s="31" t="str">
        <f aca="false">IF(A21="","",COUNTIF(ParticipantsDB!F2:F200,A21))</f>
        <v/>
      </c>
      <c r="D21" s="29" t="str">
        <f aca="false">IF(IFERROR(INDEX(SessionDB!$R$2:$R$50,2),"")="","",IFERROR(INDEX(SessionDB!$R$2:$R$50,2),"")&amp;" — Non-Local")</f>
        <v/>
      </c>
      <c r="E21" s="31" t="str">
        <f aca="false">IF(D21="","",COUNTIFS(ParticipantsDB!F2:F200,IFERROR(INDEX(SessionDB!$R$2:$R$50,2),""),ParticipantsDB!G2:G200,"Non-Local"))</f>
        <v/>
      </c>
    </row>
    <row r="22" customFormat="false" ht="15" hidden="false" customHeight="true" outlineLevel="0" collapsed="false">
      <c r="A22" s="26" t="n">
        <f aca="false">IFERROR(INDEX(SessionDB!$R$2:$R$50,3),"")</f>
        <v>0</v>
      </c>
      <c r="B22" s="28" t="str">
        <f aca="false">IF(A22="","",COUNTIF(ParticipantsDB!F2:F200,A22))</f>
        <v/>
      </c>
      <c r="D22" s="26" t="str">
        <f aca="false">IF(IFERROR(INDEX(SessionDB!$R$2:$R$50,3),"")="","",IFERROR(INDEX(SessionDB!$R$2:$R$50,3),"")&amp;" — Local")</f>
        <v/>
      </c>
      <c r="E22" s="28" t="str">
        <f aca="false">IF(D22="","",COUNTIFS(ParticipantsDB!F2:F200,IFERROR(INDEX(SessionDB!$R$2:$R$50,3),""),ParticipantsDB!G2:G200,"Local"))</f>
        <v/>
      </c>
    </row>
    <row r="23" customFormat="false" ht="15" hidden="false" customHeight="true" outlineLevel="0" collapsed="false">
      <c r="A23" s="29" t="n">
        <f aca="false">IFERROR(INDEX(SessionDB!$R$2:$R$50,4),"")</f>
        <v>0</v>
      </c>
      <c r="B23" s="31" t="str">
        <f aca="false">IF(A23="","",COUNTIF(ParticipantsDB!F2:F200,A23))</f>
        <v/>
      </c>
      <c r="D23" s="29" t="str">
        <f aca="false">IF(IFERROR(INDEX(SessionDB!$R$2:$R$50,3),"")="","",IFERROR(INDEX(SessionDB!$R$2:$R$50,3),"")&amp;" — Non-Local")</f>
        <v/>
      </c>
      <c r="E23" s="31" t="str">
        <f aca="false">IF(D23="","",COUNTIFS(ParticipantsDB!F2:F200,IFERROR(INDEX(SessionDB!$R$2:$R$50,3),""),ParticipantsDB!G2:G200,"Non-Local"))</f>
        <v/>
      </c>
    </row>
    <row r="24" customFormat="false" ht="15" hidden="false" customHeight="true" outlineLevel="0" collapsed="false">
      <c r="A24" s="26" t="n">
        <f aca="false">IFERROR(INDEX(SessionDB!$R$2:$R$50,5),"")</f>
        <v>0</v>
      </c>
      <c r="B24" s="28" t="str">
        <f aca="false">IF(A24="","",COUNTIF(ParticipantsDB!F2:F200,A24))</f>
        <v/>
      </c>
      <c r="D24" s="26" t="str">
        <f aca="false">IF(IFERROR(INDEX(SessionDB!$R$2:$R$50,4),"")="","",IFERROR(INDEX(SessionDB!$R$2:$R$50,4),"")&amp;" — Local")</f>
        <v/>
      </c>
      <c r="E24" s="28" t="str">
        <f aca="false">IF(D24="","",COUNTIFS(ParticipantsDB!F2:F200,IFERROR(INDEX(SessionDB!$R$2:$R$50,4),""),ParticipantsDB!G2:G200,"Local"))</f>
        <v/>
      </c>
    </row>
    <row r="25" customFormat="false" ht="15" hidden="false" customHeight="true" outlineLevel="0" collapsed="false">
      <c r="A25" s="29" t="n">
        <f aca="false">IFERROR(INDEX(SessionDB!$R$2:$R$50,6),"")</f>
        <v>0</v>
      </c>
      <c r="B25" s="31" t="str">
        <f aca="false">IF(A25="","",COUNTIF(ParticipantsDB!F2:F200,A25))</f>
        <v/>
      </c>
      <c r="D25" s="29" t="str">
        <f aca="false">IF(IFERROR(INDEX(SessionDB!$R$2:$R$50,4),"")="","",IFERROR(INDEX(SessionDB!$R$2:$R$50,4),"")&amp;" — Non-Local")</f>
        <v/>
      </c>
      <c r="E25" s="31" t="str">
        <f aca="false">IF(D25="","",COUNTIFS(ParticipantsDB!F2:F200,IFERROR(INDEX(SessionDB!$R$2:$R$50,4),""),ParticipantsDB!G2:G200,"Non-Local"))</f>
        <v/>
      </c>
    </row>
    <row r="26" customFormat="false" ht="15" hidden="false" customHeight="true" outlineLevel="0" collapsed="false">
      <c r="A26" s="26" t="n">
        <f aca="false">IFERROR(INDEX(SessionDB!$R$2:$R$50,7),"")</f>
        <v>0</v>
      </c>
      <c r="B26" s="28" t="str">
        <f aca="false">IF(A26="","",COUNTIF(ParticipantsDB!F2:F200,A26))</f>
        <v/>
      </c>
      <c r="D26" s="26" t="str">
        <f aca="false">IF(IFERROR(INDEX(SessionDB!$R$2:$R$50,5),"")="","",IFERROR(INDEX(SessionDB!$R$2:$R$50,5),"")&amp;" — Local")</f>
        <v/>
      </c>
      <c r="E26" s="28" t="str">
        <f aca="false">IF(D26="","",COUNTIFS(ParticipantsDB!F2:F200,IFERROR(INDEX(SessionDB!$R$2:$R$50,5),""),ParticipantsDB!G2:G200,"Local"))</f>
        <v/>
      </c>
    </row>
    <row r="27" customFormat="false" ht="15" hidden="false" customHeight="true" outlineLevel="0" collapsed="false">
      <c r="A27" s="29" t="n">
        <f aca="false">IFERROR(INDEX(SessionDB!$R$2:$R$50,8),"")</f>
        <v>0</v>
      </c>
      <c r="B27" s="31" t="str">
        <f aca="false">IF(A27="","",COUNTIF(ParticipantsDB!F2:F200,A27))</f>
        <v/>
      </c>
      <c r="D27" s="29" t="str">
        <f aca="false">IF(IFERROR(INDEX(SessionDB!$R$2:$R$50,5),"")="","",IFERROR(INDEX(SessionDB!$R$2:$R$50,5),"")&amp;" — Non-Local")</f>
        <v/>
      </c>
      <c r="E27" s="31" t="str">
        <f aca="false">IF(D27="","",COUNTIFS(ParticipantsDB!F2:F200,IFERROR(INDEX(SessionDB!$R$2:$R$50,5),""),ParticipantsDB!G2:G200,"Non-Local"))</f>
        <v/>
      </c>
    </row>
    <row r="28" customFormat="false" ht="15" hidden="false" customHeight="true" outlineLevel="0" collapsed="false">
      <c r="A28" s="26" t="n">
        <f aca="false">IFERROR(INDEX(SessionDB!$R$2:$R$50,9),"")</f>
        <v>0</v>
      </c>
      <c r="B28" s="28" t="str">
        <f aca="false">IF(A28="","",COUNTIF(ParticipantsDB!F2:F200,A28))</f>
        <v/>
      </c>
      <c r="D28" s="26" t="str">
        <f aca="false">IF(IFERROR(INDEX(SessionDB!$R$2:$R$50,6),"")="","",IFERROR(INDEX(SessionDB!$R$2:$R$50,6),"")&amp;" — Local")</f>
        <v/>
      </c>
      <c r="E28" s="28" t="str">
        <f aca="false">IF(D28="","",COUNTIFS(ParticipantsDB!F2:F200,IFERROR(INDEX(SessionDB!$R$2:$R$50,6),""),ParticipantsDB!G2:G200,"Local"))</f>
        <v/>
      </c>
    </row>
    <row r="29" customFormat="false" ht="15" hidden="false" customHeight="true" outlineLevel="0" collapsed="false">
      <c r="A29" s="29" t="n">
        <f aca="false">IFERROR(INDEX(SessionDB!$R$2:$R$50,10),"")</f>
        <v>0</v>
      </c>
      <c r="B29" s="31" t="str">
        <f aca="false">IF(A29="","",COUNTIF(ParticipantsDB!F2:F200,A29))</f>
        <v/>
      </c>
      <c r="D29" s="29" t="str">
        <f aca="false">IF(IFERROR(INDEX(SessionDB!$R$2:$R$50,6),"")="","",IFERROR(INDEX(SessionDB!$R$2:$R$50,6),"")&amp;" — Non-Local")</f>
        <v/>
      </c>
      <c r="E29" s="31" t="str">
        <f aca="false">IF(D29="","",COUNTIFS(ParticipantsDB!F2:F200,IFERROR(INDEX(SessionDB!$R$2:$R$50,6),""),ParticipantsDB!G2:G200,"Non-Local"))</f>
        <v/>
      </c>
    </row>
    <row r="30" customFormat="false" ht="15" hidden="false" customHeight="true" outlineLevel="0" collapsed="false">
      <c r="A30" s="26" t="s">
        <v>287</v>
      </c>
      <c r="B30" s="27" t="n">
        <f aca="false">COUNTA(ParticipantsDB!A2:A200)</f>
        <v>20</v>
      </c>
      <c r="D30" s="26" t="str">
        <f aca="false">IF(IFERROR(INDEX(SessionDB!$R$2:$R$50,7),"")="","",IFERROR(INDEX(SessionDB!$R$2:$R$50,7),"")&amp;" — Local")</f>
        <v/>
      </c>
      <c r="E30" s="28" t="str">
        <f aca="false">IF(D30="","",COUNTIFS(ParticipantsDB!F2:F200,IFERROR(INDEX(SessionDB!$R$2:$R$50,7),""),ParticipantsDB!G2:G200,"Local"))</f>
        <v/>
      </c>
    </row>
    <row r="31" customFormat="false" ht="15" hidden="false" customHeight="true" outlineLevel="0" collapsed="false">
      <c r="D31" s="29" t="str">
        <f aca="false">IF(IFERROR(INDEX(SessionDB!$R$2:$R$50,7),"")="","",IFERROR(INDEX(SessionDB!$R$2:$R$50,7),"")&amp;" — Non-Local")</f>
        <v/>
      </c>
      <c r="E31" s="31" t="str">
        <f aca="false">IF(D31="","",COUNTIFS(ParticipantsDB!F2:F200,IFERROR(INDEX(SessionDB!$R$2:$R$50,7),""),ParticipantsDB!G2:G200,"Non-Local"))</f>
        <v/>
      </c>
    </row>
    <row r="32" customFormat="false" ht="15" hidden="false" customHeight="true" outlineLevel="0" collapsed="false">
      <c r="D32" s="26" t="str">
        <f aca="false">IF(IFERROR(INDEX(SessionDB!$R$2:$R$50,8),"")="","",IFERROR(INDEX(SessionDB!$R$2:$R$50,8),"")&amp;" — Local")</f>
        <v/>
      </c>
      <c r="E32" s="28" t="str">
        <f aca="false">IF(D32="","",COUNTIFS(ParticipantsDB!F2:F200,IFERROR(INDEX(SessionDB!$R$2:$R$50,8),""),ParticipantsDB!G2:G200,"Local"))</f>
        <v/>
      </c>
    </row>
    <row r="33" customFormat="false" ht="15" hidden="false" customHeight="true" outlineLevel="0" collapsed="false">
      <c r="D33" s="29" t="str">
        <f aca="false">IF(IFERROR(INDEX(SessionDB!$R$2:$R$50,8),"")="","",IFERROR(INDEX(SessionDB!$R$2:$R$50,8),"")&amp;" — Non-Local")</f>
        <v/>
      </c>
      <c r="E33" s="31" t="str">
        <f aca="false">IF(D33="","",COUNTIFS(ParticipantsDB!F2:F200,IFERROR(INDEX(SessionDB!$R$2:$R$50,8),""),ParticipantsDB!G2:G200,"Non-Local"))</f>
        <v/>
      </c>
    </row>
    <row r="34" customFormat="false" ht="15" hidden="false" customHeight="true" outlineLevel="0" collapsed="false">
      <c r="D34" s="26" t="str">
        <f aca="false">IF(IFERROR(INDEX(SessionDB!$R$2:$R$50,9),"")="","",IFERROR(INDEX(SessionDB!$R$2:$R$50,9),"")&amp;" — Local")</f>
        <v/>
      </c>
      <c r="E34" s="28" t="str">
        <f aca="false">IF(D34="","",COUNTIFS(ParticipantsDB!F2:F200,IFERROR(INDEX(SessionDB!$R$2:$R$50,9),""),ParticipantsDB!G2:G200,"Local"))</f>
        <v/>
      </c>
    </row>
    <row r="35" customFormat="false" ht="15" hidden="false" customHeight="true" outlineLevel="0" collapsed="false">
      <c r="D35" s="29" t="str">
        <f aca="false">IF(IFERROR(INDEX(SessionDB!$R$2:$R$50,9),"")="","",IFERROR(INDEX(SessionDB!$R$2:$R$50,9),"")&amp;" — Non-Local")</f>
        <v/>
      </c>
      <c r="E35" s="31" t="str">
        <f aca="false">IF(D35="","",COUNTIFS(ParticipantsDB!F2:F200,IFERROR(INDEX(SessionDB!$R$2:$R$50,9),""),ParticipantsDB!G2:G200,"Non-Local"))</f>
        <v/>
      </c>
    </row>
    <row r="36" customFormat="false" ht="15" hidden="false" customHeight="true" outlineLevel="0" collapsed="false">
      <c r="D36" s="26" t="str">
        <f aca="false">IF(IFERROR(INDEX(SessionDB!$R$2:$R$50,10),"")="","",IFERROR(INDEX(SessionDB!$R$2:$R$50,10),"")&amp;" — Local")</f>
        <v/>
      </c>
      <c r="E36" s="28" t="str">
        <f aca="false">IF(D36="","",COUNTIFS(ParticipantsDB!F2:F200,IFERROR(INDEX(SessionDB!$R$2:$R$50,10),""),ParticipantsDB!G2:G200,"Local"))</f>
        <v/>
      </c>
    </row>
    <row r="37" customFormat="false" ht="15" hidden="false" customHeight="true" outlineLevel="0" collapsed="false">
      <c r="D37" s="29" t="str">
        <f aca="false">IF(IFERROR(INDEX(SessionDB!$R$2:$R$50,10),"")="","",IFERROR(INDEX(SessionDB!$R$2:$R$50,10),"")&amp;" — Non-Local")</f>
        <v/>
      </c>
      <c r="E37" s="31" t="str">
        <f aca="false">IF(D37="","",COUNTIFS(ParticipantsDB!F2:F200,IFERROR(INDEX(SessionDB!$R$2:$R$50,10),""),ParticipantsDB!G2:G200,"Non-Local"))</f>
        <v/>
      </c>
    </row>
    <row r="39" customFormat="false" ht="31.5" hidden="false" customHeight="true" outlineLevel="0" collapsed="false">
      <c r="D39" s="36" t="s">
        <v>288</v>
      </c>
      <c r="E39" s="36"/>
    </row>
    <row r="40" customFormat="false" ht="15" hidden="false" customHeight="true" outlineLevel="0" collapsed="false">
      <c r="D40" s="26" t="str">
        <f aca="false">IFERROR(INDEX($H$2:$H$50,1),"")</f>
        <v/>
      </c>
      <c r="E40" s="28" t="str">
        <f aca="false">IF(D40="","",COUNTIF(ParticipantsDB!D2:D200,D40))</f>
        <v/>
      </c>
    </row>
    <row r="41" customFormat="false" ht="15" hidden="false" customHeight="true" outlineLevel="0" collapsed="false">
      <c r="D41" s="29" t="n">
        <f aca="false">IFERROR(INDEX($H$2:$H$50,2),"")</f>
        <v>0</v>
      </c>
      <c r="E41" s="31" t="str">
        <f aca="false">IF(D41="","",COUNTIF(ParticipantsDB!D2:D200,D41))</f>
        <v/>
      </c>
    </row>
    <row r="42" customFormat="false" ht="15" hidden="false" customHeight="true" outlineLevel="0" collapsed="false">
      <c r="D42" s="26" t="n">
        <f aca="false">IFERROR(INDEX($H$2:$H$50,3),"")</f>
        <v>0</v>
      </c>
      <c r="E42" s="28" t="str">
        <f aca="false">IF(D42="","",COUNTIF(ParticipantsDB!D2:D200,D42))</f>
        <v/>
      </c>
    </row>
    <row r="43" customFormat="false" ht="15" hidden="false" customHeight="true" outlineLevel="0" collapsed="false">
      <c r="D43" s="29" t="n">
        <f aca="false">IFERROR(INDEX($H$2:$H$50,4),"")</f>
        <v>0</v>
      </c>
      <c r="E43" s="31" t="str">
        <f aca="false">IF(D43="","",COUNTIF(ParticipantsDB!D2:D200,D43))</f>
        <v/>
      </c>
    </row>
    <row r="44" customFormat="false" ht="15" hidden="false" customHeight="true" outlineLevel="0" collapsed="false">
      <c r="D44" s="26" t="n">
        <f aca="false">IFERROR(INDEX($H$2:$H$50,5),"")</f>
        <v>0</v>
      </c>
      <c r="E44" s="28" t="str">
        <f aca="false">IF(D44="","",COUNTIF(ParticipantsDB!D2:D200,D44))</f>
        <v/>
      </c>
    </row>
    <row r="45" customFormat="false" ht="15" hidden="false" customHeight="true" outlineLevel="0" collapsed="false">
      <c r="D45" s="29" t="n">
        <f aca="false">IFERROR(INDEX($H$2:$H$50,6),"")</f>
        <v>0</v>
      </c>
      <c r="E45" s="31" t="str">
        <f aca="false">IF(D45="","",COUNTIF(ParticipantsDB!D2:D200,D45))</f>
        <v/>
      </c>
    </row>
    <row r="46" customFormat="false" ht="15" hidden="false" customHeight="true" outlineLevel="0" collapsed="false">
      <c r="D46" s="26" t="n">
        <f aca="false">IFERROR(INDEX($H$2:$H$50,7),"")</f>
        <v>0</v>
      </c>
      <c r="E46" s="28" t="str">
        <f aca="false">IF(D46="","",COUNTIF(ParticipantsDB!D2:D200,D46))</f>
        <v/>
      </c>
    </row>
    <row r="47" customFormat="false" ht="15" hidden="false" customHeight="true" outlineLevel="0" collapsed="false">
      <c r="D47" s="29" t="n">
        <f aca="false">IFERROR(INDEX($H$2:$H$50,8),"")</f>
        <v>0</v>
      </c>
      <c r="E47" s="31" t="str">
        <f aca="false">IF(D47="","",COUNTIF(ParticipantsDB!D2:D200,D47))</f>
        <v/>
      </c>
    </row>
    <row r="48" customFormat="false" ht="15" hidden="false" customHeight="true" outlineLevel="0" collapsed="false">
      <c r="D48" s="26" t="n">
        <f aca="false">IFERROR(INDEX($H$2:$H$50,9),"")</f>
        <v>0</v>
      </c>
      <c r="E48" s="28" t="str">
        <f aca="false">IF(D48="","",COUNTIF(ParticipantsDB!D2:D200,D48))</f>
        <v/>
      </c>
    </row>
    <row r="49" customFormat="false" ht="15" hidden="false" customHeight="true" outlineLevel="0" collapsed="false">
      <c r="D49" s="29" t="n">
        <f aca="false">IFERROR(INDEX($H$2:$H$50,10),"")</f>
        <v>0</v>
      </c>
      <c r="E49" s="31" t="str">
        <f aca="false">IF(D49="","",COUNTIF(ParticipantsDB!D2:D200,D49))</f>
        <v/>
      </c>
    </row>
    <row r="50" customFormat="false" ht="15" hidden="false" customHeight="true" outlineLevel="0" collapsed="false">
      <c r="D50" s="26" t="n">
        <f aca="false">IFERROR(INDEX($H$2:$H$50,11),"")</f>
        <v>0</v>
      </c>
      <c r="E50" s="28" t="str">
        <f aca="false">IF(D50="","",COUNTIF(ParticipantsDB!D2:D200,D50))</f>
        <v/>
      </c>
    </row>
    <row r="51" customFormat="false" ht="15" hidden="false" customHeight="true" outlineLevel="0" collapsed="false">
      <c r="D51" s="29" t="n">
        <f aca="false">IFERROR(INDEX($H$2:$H$50,12),"")</f>
        <v>0</v>
      </c>
      <c r="E51" s="31" t="str">
        <f aca="false">IF(D51="","",COUNTIF(ParticipantsDB!D2:D200,D51))</f>
        <v/>
      </c>
    </row>
    <row r="52" customFormat="false" ht="15" hidden="false" customHeight="true" outlineLevel="0" collapsed="false">
      <c r="D52" s="26" t="n">
        <f aca="false">IFERROR(INDEX($H$2:$H$50,13),"")</f>
        <v>0</v>
      </c>
      <c r="E52" s="28" t="str">
        <f aca="false">IF(D52="","",COUNTIF(ParticipantsDB!D2:D200,D52))</f>
        <v/>
      </c>
    </row>
    <row r="53" customFormat="false" ht="15" hidden="false" customHeight="true" outlineLevel="0" collapsed="false">
      <c r="D53" s="29" t="n">
        <f aca="false">IFERROR(INDEX($H$2:$H$50,14),"")</f>
        <v>0</v>
      </c>
      <c r="E53" s="31" t="str">
        <f aca="false">IF(D53="","",COUNTIF(ParticipantsDB!D2:D200,D53))</f>
        <v/>
      </c>
    </row>
    <row r="54" customFormat="false" ht="15" hidden="false" customHeight="true" outlineLevel="0" collapsed="false">
      <c r="D54" s="26" t="n">
        <f aca="false">IFERROR(INDEX($H$2:$H$50,15),"")</f>
        <v>0</v>
      </c>
      <c r="E54" s="28" t="str">
        <f aca="false">IF(D54="","",COUNTIF(ParticipantsDB!D2:D200,D54))</f>
        <v/>
      </c>
    </row>
  </sheetData>
  <mergeCells count="7">
    <mergeCell ref="A1:E1"/>
    <mergeCell ref="A3:B3"/>
    <mergeCell ref="D3:E3"/>
    <mergeCell ref="A9:B9"/>
    <mergeCell ref="D17:E17"/>
    <mergeCell ref="A19:B19"/>
    <mergeCell ref="D39:E39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DC2626"/>
    <pageSetUpPr fitToPage="false"/>
  </sheetPr>
  <dimension ref="A1:Z7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2" ySplit="19" topLeftCell="C20" activePane="bottomRight" state="frozen"/>
      <selection pane="topLeft" activeCell="A1" activeCellId="0" sqref="A1"/>
      <selection pane="topRight" activeCell="C1" activeCellId="0" sqref="C1"/>
      <selection pane="bottomLeft" activeCell="A20" activeCellId="0" sqref="A20"/>
      <selection pane="bottomRigh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16"/>
    <col collapsed="false" customWidth="true" hidden="false" outlineLevel="0" max="22" min="2" style="0" width="5"/>
    <col collapsed="false" customWidth="true" hidden="true" outlineLevel="0" max="26" min="26" style="0" width="13"/>
  </cols>
  <sheetData>
    <row r="1" customFormat="false" ht="36" hidden="false" customHeight="true" outlineLevel="0" collapsed="false">
      <c r="A1" s="37" t="s">
        <v>289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customFormat="false" ht="15" hidden="false" customHeight="false" outlineLevel="0" collapsed="false">
      <c r="Z2" s="0" t="s">
        <v>17</v>
      </c>
    </row>
    <row r="3" customFormat="false" ht="15" hidden="false" customHeight="false" outlineLevel="0" collapsed="false">
      <c r="A3" s="38" t="s">
        <v>290</v>
      </c>
      <c r="B3" s="38"/>
      <c r="C3" s="38"/>
      <c r="D3" s="38"/>
      <c r="Z3" s="0" t="s">
        <v>24</v>
      </c>
    </row>
    <row r="4" customFormat="false" ht="15" hidden="false" customHeight="false" outlineLevel="0" collapsed="false">
      <c r="A4" s="39" t="s">
        <v>291</v>
      </c>
      <c r="B4" s="39" t="s">
        <v>9</v>
      </c>
      <c r="C4" s="39" t="s">
        <v>292</v>
      </c>
      <c r="D4" s="39" t="s">
        <v>293</v>
      </c>
      <c r="Z4" s="0" t="s">
        <v>28</v>
      </c>
    </row>
    <row r="5" customFormat="false" ht="79.85" hidden="false" customHeight="false" outlineLevel="0" collapsed="false">
      <c r="A5" s="40" t="s">
        <v>17</v>
      </c>
      <c r="B5" s="41" t="n">
        <v>200</v>
      </c>
      <c r="C5" s="41" t="s">
        <v>294</v>
      </c>
      <c r="D5" s="42" t="s">
        <v>295</v>
      </c>
      <c r="Z5" s="0" t="s">
        <v>32</v>
      </c>
    </row>
    <row r="6" customFormat="false" ht="79.85" hidden="false" customHeight="false" outlineLevel="0" collapsed="false">
      <c r="A6" s="43" t="s">
        <v>24</v>
      </c>
      <c r="B6" s="44" t="n">
        <v>50</v>
      </c>
      <c r="C6" s="44" t="s">
        <v>296</v>
      </c>
      <c r="D6" s="45" t="s">
        <v>297</v>
      </c>
      <c r="Z6" s="0" t="s">
        <v>36</v>
      </c>
    </row>
    <row r="7" customFormat="false" ht="79.85" hidden="false" customHeight="false" outlineLevel="0" collapsed="false">
      <c r="A7" s="40" t="s">
        <v>28</v>
      </c>
      <c r="B7" s="41" t="n">
        <v>55</v>
      </c>
      <c r="C7" s="41" t="s">
        <v>296</v>
      </c>
      <c r="D7" s="42" t="s">
        <v>297</v>
      </c>
      <c r="Z7" s="0" t="s">
        <v>40</v>
      </c>
    </row>
    <row r="8" customFormat="false" ht="79.85" hidden="false" customHeight="false" outlineLevel="0" collapsed="false">
      <c r="A8" s="43" t="s">
        <v>32</v>
      </c>
      <c r="B8" s="44" t="n">
        <v>45</v>
      </c>
      <c r="C8" s="44" t="s">
        <v>296</v>
      </c>
      <c r="D8" s="45" t="s">
        <v>298</v>
      </c>
      <c r="Z8" s="0" t="s">
        <v>299</v>
      </c>
    </row>
    <row r="9" customFormat="false" ht="79.85" hidden="false" customHeight="false" outlineLevel="0" collapsed="false">
      <c r="A9" s="40" t="s">
        <v>36</v>
      </c>
      <c r="B9" s="41" t="n">
        <v>40</v>
      </c>
      <c r="C9" s="41" t="s">
        <v>296</v>
      </c>
      <c r="D9" s="42" t="s">
        <v>297</v>
      </c>
      <c r="Z9" s="0" t="s">
        <v>300</v>
      </c>
    </row>
    <row r="10" customFormat="false" ht="35.05" hidden="false" customHeight="false" outlineLevel="0" collapsed="false">
      <c r="A10" s="43" t="s">
        <v>40</v>
      </c>
      <c r="B10" s="44" t="n">
        <v>250</v>
      </c>
      <c r="C10" s="44" t="s">
        <v>294</v>
      </c>
      <c r="D10" s="45" t="s">
        <v>301</v>
      </c>
      <c r="Z10" s="0" t="s">
        <v>302</v>
      </c>
    </row>
    <row r="11" customFormat="false" ht="46.25" hidden="false" customHeight="false" outlineLevel="0" collapsed="false">
      <c r="A11" s="40" t="s">
        <v>299</v>
      </c>
      <c r="B11" s="41" t="n">
        <v>35</v>
      </c>
      <c r="C11" s="41" t="s">
        <v>303</v>
      </c>
      <c r="D11" s="42" t="s">
        <v>304</v>
      </c>
      <c r="Z11" s="0" t="s">
        <v>305</v>
      </c>
    </row>
    <row r="12" customFormat="false" ht="46.25" hidden="false" customHeight="false" outlineLevel="0" collapsed="false">
      <c r="A12" s="43" t="s">
        <v>300</v>
      </c>
      <c r="B12" s="44" t="n">
        <v>30</v>
      </c>
      <c r="C12" s="44" t="s">
        <v>303</v>
      </c>
      <c r="D12" s="45" t="s">
        <v>304</v>
      </c>
      <c r="Z12" s="0" t="s">
        <v>306</v>
      </c>
    </row>
    <row r="13" customFormat="false" ht="57.45" hidden="false" customHeight="false" outlineLevel="0" collapsed="false">
      <c r="A13" s="40" t="s">
        <v>302</v>
      </c>
      <c r="B13" s="41" t="n">
        <v>25</v>
      </c>
      <c r="C13" s="41" t="s">
        <v>303</v>
      </c>
      <c r="D13" s="42" t="s">
        <v>307</v>
      </c>
    </row>
    <row r="14" customFormat="false" ht="68.65" hidden="false" customHeight="false" outlineLevel="0" collapsed="false">
      <c r="A14" s="43" t="s">
        <v>305</v>
      </c>
      <c r="B14" s="44" t="n">
        <v>15</v>
      </c>
      <c r="C14" s="44" t="s">
        <v>308</v>
      </c>
      <c r="D14" s="45" t="s">
        <v>309</v>
      </c>
    </row>
    <row r="15" customFormat="false" ht="46.25" hidden="false" customHeight="false" outlineLevel="0" collapsed="false">
      <c r="A15" s="40" t="s">
        <v>306</v>
      </c>
      <c r="B15" s="41" t="n">
        <v>60</v>
      </c>
      <c r="C15" s="41" t="s">
        <v>294</v>
      </c>
      <c r="D15" s="42" t="s">
        <v>310</v>
      </c>
    </row>
    <row r="18" customFormat="false" ht="15" hidden="false" customHeight="false" outlineLevel="0" collapsed="false">
      <c r="A18" s="38" t="s">
        <v>311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</row>
    <row r="19" customFormat="false" ht="21.75" hidden="false" customHeight="true" outlineLevel="0" collapsed="false">
      <c r="A19" s="46" t="s">
        <v>6</v>
      </c>
      <c r="B19" s="46" t="s">
        <v>1</v>
      </c>
      <c r="C19" s="46" t="s">
        <v>312</v>
      </c>
      <c r="D19" s="46" t="s">
        <v>313</v>
      </c>
      <c r="E19" s="46" t="s">
        <v>13</v>
      </c>
      <c r="F19" s="46" t="s">
        <v>314</v>
      </c>
      <c r="G19" s="46" t="s">
        <v>14</v>
      </c>
      <c r="H19" s="46" t="s">
        <v>20</v>
      </c>
      <c r="I19" s="46" t="s">
        <v>67</v>
      </c>
      <c r="J19" s="46" t="s">
        <v>315</v>
      </c>
      <c r="K19" s="46" t="s">
        <v>21</v>
      </c>
      <c r="L19" s="46" t="s">
        <v>91</v>
      </c>
      <c r="M19" s="46" t="s">
        <v>38</v>
      </c>
      <c r="N19" s="46" t="s">
        <v>96</v>
      </c>
      <c r="O19" s="46" t="s">
        <v>112</v>
      </c>
      <c r="P19" s="46" t="s">
        <v>42</v>
      </c>
      <c r="Q19" s="46" t="s">
        <v>51</v>
      </c>
      <c r="R19" s="46" t="s">
        <v>101</v>
      </c>
      <c r="S19" s="46" t="s">
        <v>316</v>
      </c>
      <c r="T19" s="46" t="s">
        <v>53</v>
      </c>
      <c r="U19" s="46" t="s">
        <v>102</v>
      </c>
      <c r="V19" s="46" t="s">
        <v>317</v>
      </c>
    </row>
    <row r="20" customFormat="false" ht="15.75" hidden="false" customHeight="true" outlineLevel="0" collapsed="false">
      <c r="A20" s="47" t="s">
        <v>17</v>
      </c>
      <c r="B20" s="48" t="s">
        <v>318</v>
      </c>
      <c r="C20" s="49" t="s">
        <v>319</v>
      </c>
      <c r="D20" s="49" t="s">
        <v>319</v>
      </c>
      <c r="E20" s="49" t="s">
        <v>319</v>
      </c>
      <c r="F20" s="49" t="s">
        <v>319</v>
      </c>
      <c r="G20" s="49" t="s">
        <v>319</v>
      </c>
      <c r="H20" s="49" t="s">
        <v>319</v>
      </c>
      <c r="I20" s="49" t="s">
        <v>319</v>
      </c>
      <c r="J20" s="49" t="s">
        <v>319</v>
      </c>
      <c r="K20" s="49" t="s">
        <v>319</v>
      </c>
      <c r="L20" s="49" t="s">
        <v>319</v>
      </c>
      <c r="M20" s="49" t="s">
        <v>319</v>
      </c>
      <c r="N20" s="49" t="s">
        <v>319</v>
      </c>
      <c r="O20" s="49" t="s">
        <v>319</v>
      </c>
      <c r="P20" s="49" t="s">
        <v>319</v>
      </c>
      <c r="Q20" s="49" t="s">
        <v>319</v>
      </c>
      <c r="R20" s="49" t="s">
        <v>319</v>
      </c>
      <c r="S20" s="49" t="s">
        <v>319</v>
      </c>
      <c r="T20" s="49" t="s">
        <v>319</v>
      </c>
      <c r="U20" s="49" t="s">
        <v>319</v>
      </c>
      <c r="V20" s="49" t="s">
        <v>319</v>
      </c>
    </row>
    <row r="21" customFormat="false" ht="15.75" hidden="false" customHeight="true" outlineLevel="0" collapsed="false">
      <c r="A21" s="50" t="s">
        <v>17</v>
      </c>
      <c r="B21" s="51" t="s">
        <v>320</v>
      </c>
      <c r="C21" s="49" t="s">
        <v>319</v>
      </c>
      <c r="D21" s="49" t="s">
        <v>319</v>
      </c>
      <c r="E21" s="49" t="s">
        <v>319</v>
      </c>
      <c r="F21" s="49" t="s">
        <v>319</v>
      </c>
      <c r="G21" s="49" t="s">
        <v>319</v>
      </c>
      <c r="H21" s="49" t="s">
        <v>319</v>
      </c>
      <c r="I21" s="49" t="s">
        <v>319</v>
      </c>
      <c r="J21" s="49" t="s">
        <v>319</v>
      </c>
      <c r="K21" s="49" t="s">
        <v>319</v>
      </c>
      <c r="L21" s="49" t="s">
        <v>319</v>
      </c>
      <c r="M21" s="49" t="s">
        <v>319</v>
      </c>
      <c r="N21" s="49" t="s">
        <v>319</v>
      </c>
      <c r="O21" s="49" t="s">
        <v>319</v>
      </c>
      <c r="P21" s="49" t="s">
        <v>319</v>
      </c>
      <c r="Q21" s="49" t="s">
        <v>319</v>
      </c>
      <c r="R21" s="49" t="s">
        <v>319</v>
      </c>
      <c r="S21" s="49" t="s">
        <v>319</v>
      </c>
      <c r="T21" s="49" t="s">
        <v>319</v>
      </c>
      <c r="U21" s="49" t="s">
        <v>319</v>
      </c>
      <c r="V21" s="49" t="s">
        <v>319</v>
      </c>
    </row>
    <row r="22" customFormat="false" ht="15.75" hidden="false" customHeight="true" outlineLevel="0" collapsed="false">
      <c r="A22" s="52" t="s">
        <v>17</v>
      </c>
      <c r="B22" s="53" t="s">
        <v>321</v>
      </c>
      <c r="C22" s="49" t="s">
        <v>319</v>
      </c>
      <c r="D22" s="49" t="s">
        <v>319</v>
      </c>
      <c r="E22" s="49" t="s">
        <v>319</v>
      </c>
      <c r="F22" s="49" t="s">
        <v>319</v>
      </c>
      <c r="G22" s="49" t="s">
        <v>319</v>
      </c>
      <c r="H22" s="49" t="s">
        <v>319</v>
      </c>
      <c r="I22" s="49" t="s">
        <v>319</v>
      </c>
      <c r="J22" s="49" t="s">
        <v>319</v>
      </c>
      <c r="K22" s="49" t="s">
        <v>319</v>
      </c>
      <c r="L22" s="49" t="s">
        <v>319</v>
      </c>
      <c r="M22" s="49" t="s">
        <v>319</v>
      </c>
      <c r="N22" s="49" t="s">
        <v>319</v>
      </c>
      <c r="O22" s="49" t="s">
        <v>319</v>
      </c>
      <c r="P22" s="49" t="s">
        <v>319</v>
      </c>
      <c r="Q22" s="49" t="s">
        <v>319</v>
      </c>
      <c r="R22" s="49" t="s">
        <v>319</v>
      </c>
      <c r="S22" s="49" t="s">
        <v>319</v>
      </c>
      <c r="T22" s="49" t="s">
        <v>319</v>
      </c>
      <c r="U22" s="49" t="s">
        <v>319</v>
      </c>
      <c r="V22" s="49" t="s">
        <v>319</v>
      </c>
    </row>
    <row r="23" customFormat="false" ht="15.75" hidden="false" customHeight="true" outlineLevel="0" collapsed="false">
      <c r="A23" s="50" t="s">
        <v>17</v>
      </c>
      <c r="B23" s="51" t="s">
        <v>322</v>
      </c>
      <c r="C23" s="49" t="s">
        <v>319</v>
      </c>
      <c r="D23" s="49" t="s">
        <v>319</v>
      </c>
      <c r="E23" s="49" t="s">
        <v>319</v>
      </c>
      <c r="F23" s="49" t="s">
        <v>319</v>
      </c>
      <c r="G23" s="49" t="s">
        <v>319</v>
      </c>
      <c r="H23" s="49" t="s">
        <v>319</v>
      </c>
      <c r="I23" s="49" t="s">
        <v>319</v>
      </c>
      <c r="J23" s="49" t="s">
        <v>319</v>
      </c>
      <c r="K23" s="49" t="s">
        <v>319</v>
      </c>
      <c r="L23" s="49" t="s">
        <v>319</v>
      </c>
      <c r="M23" s="49" t="s">
        <v>319</v>
      </c>
      <c r="N23" s="49" t="s">
        <v>319</v>
      </c>
      <c r="O23" s="49" t="s">
        <v>319</v>
      </c>
      <c r="P23" s="49" t="s">
        <v>319</v>
      </c>
      <c r="Q23" s="49" t="s">
        <v>319</v>
      </c>
      <c r="R23" s="49" t="s">
        <v>319</v>
      </c>
      <c r="S23" s="49" t="s">
        <v>319</v>
      </c>
      <c r="T23" s="49" t="s">
        <v>319</v>
      </c>
      <c r="U23" s="49" t="s">
        <v>319</v>
      </c>
      <c r="V23" s="49" t="s">
        <v>319</v>
      </c>
    </row>
    <row r="24" customFormat="false" ht="15.75" hidden="false" customHeight="true" outlineLevel="0" collapsed="false">
      <c r="A24" s="52" t="s">
        <v>17</v>
      </c>
      <c r="B24" s="53" t="s">
        <v>323</v>
      </c>
      <c r="C24" s="49" t="s">
        <v>319</v>
      </c>
      <c r="D24" s="49" t="s">
        <v>319</v>
      </c>
      <c r="E24" s="49" t="s">
        <v>319</v>
      </c>
      <c r="F24" s="49" t="s">
        <v>319</v>
      </c>
      <c r="G24" s="49" t="s">
        <v>319</v>
      </c>
      <c r="H24" s="49" t="s">
        <v>319</v>
      </c>
      <c r="I24" s="49" t="s">
        <v>319</v>
      </c>
      <c r="J24" s="49" t="s">
        <v>319</v>
      </c>
      <c r="K24" s="49" t="s">
        <v>319</v>
      </c>
      <c r="L24" s="49" t="s">
        <v>319</v>
      </c>
      <c r="M24" s="49" t="s">
        <v>319</v>
      </c>
      <c r="N24" s="49" t="s">
        <v>319</v>
      </c>
      <c r="O24" s="49" t="s">
        <v>319</v>
      </c>
      <c r="P24" s="49" t="s">
        <v>319</v>
      </c>
      <c r="Q24" s="49" t="s">
        <v>319</v>
      </c>
      <c r="R24" s="49" t="s">
        <v>319</v>
      </c>
      <c r="S24" s="49" t="s">
        <v>319</v>
      </c>
      <c r="T24" s="49" t="s">
        <v>319</v>
      </c>
      <c r="U24" s="49" t="s">
        <v>319</v>
      </c>
      <c r="V24" s="49" t="s">
        <v>319</v>
      </c>
    </row>
    <row r="25" customFormat="false" ht="15.75" hidden="false" customHeight="true" outlineLevel="0" collapsed="false">
      <c r="A25" s="47" t="s">
        <v>24</v>
      </c>
      <c r="B25" s="48" t="s">
        <v>318</v>
      </c>
      <c r="C25" s="49" t="s">
        <v>319</v>
      </c>
      <c r="D25" s="49" t="s">
        <v>319</v>
      </c>
      <c r="E25" s="49" t="s">
        <v>319</v>
      </c>
      <c r="F25" s="49" t="s">
        <v>319</v>
      </c>
      <c r="G25" s="49" t="s">
        <v>319</v>
      </c>
      <c r="H25" s="49" t="s">
        <v>319</v>
      </c>
      <c r="I25" s="49" t="s">
        <v>319</v>
      </c>
      <c r="J25" s="49" t="s">
        <v>319</v>
      </c>
      <c r="K25" s="49" t="s">
        <v>319</v>
      </c>
      <c r="L25" s="49" t="s">
        <v>319</v>
      </c>
      <c r="M25" s="49" t="s">
        <v>319</v>
      </c>
      <c r="N25" s="49" t="s">
        <v>319</v>
      </c>
      <c r="O25" s="49" t="s">
        <v>319</v>
      </c>
      <c r="P25" s="49" t="s">
        <v>319</v>
      </c>
      <c r="Q25" s="49" t="s">
        <v>319</v>
      </c>
      <c r="R25" s="49" t="s">
        <v>319</v>
      </c>
      <c r="S25" s="49" t="s">
        <v>319</v>
      </c>
      <c r="T25" s="49" t="s">
        <v>319</v>
      </c>
      <c r="U25" s="49" t="s">
        <v>319</v>
      </c>
      <c r="V25" s="49" t="s">
        <v>319</v>
      </c>
    </row>
    <row r="26" customFormat="false" ht="15.75" hidden="false" customHeight="true" outlineLevel="0" collapsed="false">
      <c r="A26" s="50" t="s">
        <v>24</v>
      </c>
      <c r="B26" s="51" t="s">
        <v>320</v>
      </c>
      <c r="C26" s="49" t="s">
        <v>319</v>
      </c>
      <c r="D26" s="49" t="s">
        <v>319</v>
      </c>
      <c r="E26" s="49" t="s">
        <v>319</v>
      </c>
      <c r="F26" s="49" t="s">
        <v>319</v>
      </c>
      <c r="G26" s="49" t="s">
        <v>319</v>
      </c>
      <c r="H26" s="49" t="s">
        <v>319</v>
      </c>
      <c r="I26" s="49" t="s">
        <v>319</v>
      </c>
      <c r="J26" s="49" t="s">
        <v>319</v>
      </c>
      <c r="K26" s="49" t="s">
        <v>319</v>
      </c>
      <c r="L26" s="49" t="s">
        <v>319</v>
      </c>
      <c r="M26" s="49" t="s">
        <v>319</v>
      </c>
      <c r="N26" s="49" t="s">
        <v>319</v>
      </c>
      <c r="O26" s="49" t="s">
        <v>319</v>
      </c>
      <c r="P26" s="49" t="s">
        <v>319</v>
      </c>
      <c r="Q26" s="49" t="s">
        <v>319</v>
      </c>
      <c r="R26" s="49" t="s">
        <v>319</v>
      </c>
      <c r="S26" s="49" t="s">
        <v>319</v>
      </c>
      <c r="T26" s="49" t="s">
        <v>319</v>
      </c>
      <c r="U26" s="49" t="s">
        <v>319</v>
      </c>
      <c r="V26" s="49" t="s">
        <v>319</v>
      </c>
    </row>
    <row r="27" customFormat="false" ht="15.75" hidden="false" customHeight="true" outlineLevel="0" collapsed="false">
      <c r="A27" s="52" t="s">
        <v>24</v>
      </c>
      <c r="B27" s="53" t="s">
        <v>321</v>
      </c>
      <c r="C27" s="49" t="s">
        <v>319</v>
      </c>
      <c r="D27" s="49" t="s">
        <v>319</v>
      </c>
      <c r="E27" s="49" t="s">
        <v>319</v>
      </c>
      <c r="F27" s="49" t="s">
        <v>319</v>
      </c>
      <c r="G27" s="49" t="s">
        <v>319</v>
      </c>
      <c r="H27" s="49" t="s">
        <v>319</v>
      </c>
      <c r="I27" s="49" t="s">
        <v>319</v>
      </c>
      <c r="J27" s="49" t="s">
        <v>319</v>
      </c>
      <c r="K27" s="49" t="s">
        <v>319</v>
      </c>
      <c r="L27" s="49" t="s">
        <v>319</v>
      </c>
      <c r="M27" s="49" t="s">
        <v>319</v>
      </c>
      <c r="N27" s="49" t="s">
        <v>319</v>
      </c>
      <c r="O27" s="49" t="s">
        <v>319</v>
      </c>
      <c r="P27" s="49" t="s">
        <v>319</v>
      </c>
      <c r="Q27" s="49" t="s">
        <v>319</v>
      </c>
      <c r="R27" s="49" t="s">
        <v>319</v>
      </c>
      <c r="S27" s="49" t="s">
        <v>319</v>
      </c>
      <c r="T27" s="49" t="s">
        <v>319</v>
      </c>
      <c r="U27" s="49" t="s">
        <v>319</v>
      </c>
      <c r="V27" s="49" t="s">
        <v>319</v>
      </c>
    </row>
    <row r="28" customFormat="false" ht="15.75" hidden="false" customHeight="true" outlineLevel="0" collapsed="false">
      <c r="A28" s="50" t="s">
        <v>24</v>
      </c>
      <c r="B28" s="51" t="s">
        <v>322</v>
      </c>
      <c r="C28" s="49" t="s">
        <v>319</v>
      </c>
      <c r="D28" s="49" t="s">
        <v>319</v>
      </c>
      <c r="E28" s="49" t="s">
        <v>319</v>
      </c>
      <c r="F28" s="49" t="s">
        <v>319</v>
      </c>
      <c r="G28" s="49" t="s">
        <v>319</v>
      </c>
      <c r="H28" s="49" t="s">
        <v>319</v>
      </c>
      <c r="I28" s="49" t="s">
        <v>319</v>
      </c>
      <c r="J28" s="49" t="s">
        <v>319</v>
      </c>
      <c r="K28" s="49" t="s">
        <v>319</v>
      </c>
      <c r="L28" s="49" t="s">
        <v>319</v>
      </c>
      <c r="M28" s="49" t="s">
        <v>319</v>
      </c>
      <c r="N28" s="49" t="s">
        <v>319</v>
      </c>
      <c r="O28" s="49" t="s">
        <v>319</v>
      </c>
      <c r="P28" s="49" t="s">
        <v>319</v>
      </c>
      <c r="Q28" s="49" t="s">
        <v>319</v>
      </c>
      <c r="R28" s="49" t="s">
        <v>319</v>
      </c>
      <c r="S28" s="49" t="s">
        <v>319</v>
      </c>
      <c r="T28" s="49" t="s">
        <v>319</v>
      </c>
      <c r="U28" s="49" t="s">
        <v>319</v>
      </c>
      <c r="V28" s="49" t="s">
        <v>319</v>
      </c>
    </row>
    <row r="29" customFormat="false" ht="15.75" hidden="false" customHeight="true" outlineLevel="0" collapsed="false">
      <c r="A29" s="52" t="s">
        <v>24</v>
      </c>
      <c r="B29" s="53" t="s">
        <v>323</v>
      </c>
      <c r="C29" s="49" t="s">
        <v>319</v>
      </c>
      <c r="D29" s="49" t="s">
        <v>319</v>
      </c>
      <c r="E29" s="49" t="s">
        <v>319</v>
      </c>
      <c r="F29" s="49" t="s">
        <v>319</v>
      </c>
      <c r="G29" s="49" t="s">
        <v>319</v>
      </c>
      <c r="H29" s="49" t="s">
        <v>319</v>
      </c>
      <c r="I29" s="49" t="s">
        <v>319</v>
      </c>
      <c r="J29" s="49" t="s">
        <v>319</v>
      </c>
      <c r="K29" s="49" t="s">
        <v>319</v>
      </c>
      <c r="L29" s="49" t="s">
        <v>319</v>
      </c>
      <c r="M29" s="49" t="s">
        <v>319</v>
      </c>
      <c r="N29" s="49" t="s">
        <v>319</v>
      </c>
      <c r="O29" s="49" t="s">
        <v>319</v>
      </c>
      <c r="P29" s="49" t="s">
        <v>319</v>
      </c>
      <c r="Q29" s="49" t="s">
        <v>319</v>
      </c>
      <c r="R29" s="49" t="s">
        <v>319</v>
      </c>
      <c r="S29" s="49" t="s">
        <v>319</v>
      </c>
      <c r="T29" s="49" t="s">
        <v>319</v>
      </c>
      <c r="U29" s="49" t="s">
        <v>319</v>
      </c>
      <c r="V29" s="49" t="s">
        <v>319</v>
      </c>
    </row>
    <row r="30" customFormat="false" ht="15.75" hidden="false" customHeight="true" outlineLevel="0" collapsed="false">
      <c r="A30" s="47" t="s">
        <v>28</v>
      </c>
      <c r="B30" s="48" t="s">
        <v>318</v>
      </c>
      <c r="C30" s="49" t="s">
        <v>319</v>
      </c>
      <c r="D30" s="49" t="s">
        <v>319</v>
      </c>
      <c r="E30" s="49" t="s">
        <v>319</v>
      </c>
      <c r="F30" s="49" t="s">
        <v>319</v>
      </c>
      <c r="G30" s="49" t="s">
        <v>319</v>
      </c>
      <c r="H30" s="49" t="s">
        <v>319</v>
      </c>
      <c r="I30" s="49" t="s">
        <v>319</v>
      </c>
      <c r="J30" s="49" t="s">
        <v>319</v>
      </c>
      <c r="K30" s="49" t="s">
        <v>319</v>
      </c>
      <c r="L30" s="49" t="s">
        <v>319</v>
      </c>
      <c r="M30" s="49" t="s">
        <v>319</v>
      </c>
      <c r="N30" s="49" t="s">
        <v>319</v>
      </c>
      <c r="O30" s="49" t="s">
        <v>319</v>
      </c>
      <c r="P30" s="49" t="s">
        <v>319</v>
      </c>
      <c r="Q30" s="49" t="s">
        <v>319</v>
      </c>
      <c r="R30" s="49" t="s">
        <v>319</v>
      </c>
      <c r="S30" s="49" t="s">
        <v>319</v>
      </c>
      <c r="T30" s="49" t="s">
        <v>319</v>
      </c>
      <c r="U30" s="49" t="s">
        <v>319</v>
      </c>
      <c r="V30" s="49" t="s">
        <v>319</v>
      </c>
    </row>
    <row r="31" customFormat="false" ht="15.75" hidden="false" customHeight="true" outlineLevel="0" collapsed="false">
      <c r="A31" s="50" t="s">
        <v>28</v>
      </c>
      <c r="B31" s="51" t="s">
        <v>320</v>
      </c>
      <c r="C31" s="49" t="s">
        <v>319</v>
      </c>
      <c r="D31" s="49" t="s">
        <v>319</v>
      </c>
      <c r="E31" s="49" t="s">
        <v>319</v>
      </c>
      <c r="F31" s="49" t="s">
        <v>319</v>
      </c>
      <c r="G31" s="49" t="s">
        <v>319</v>
      </c>
      <c r="H31" s="49" t="s">
        <v>319</v>
      </c>
      <c r="I31" s="49" t="s">
        <v>319</v>
      </c>
      <c r="J31" s="49" t="s">
        <v>319</v>
      </c>
      <c r="K31" s="49" t="s">
        <v>319</v>
      </c>
      <c r="L31" s="49" t="s">
        <v>319</v>
      </c>
      <c r="M31" s="49" t="s">
        <v>319</v>
      </c>
      <c r="N31" s="49" t="s">
        <v>319</v>
      </c>
      <c r="O31" s="49" t="s">
        <v>319</v>
      </c>
      <c r="P31" s="49" t="s">
        <v>319</v>
      </c>
      <c r="Q31" s="49" t="s">
        <v>319</v>
      </c>
      <c r="R31" s="49" t="s">
        <v>319</v>
      </c>
      <c r="S31" s="49" t="s">
        <v>319</v>
      </c>
      <c r="T31" s="49" t="s">
        <v>319</v>
      </c>
      <c r="U31" s="49" t="s">
        <v>319</v>
      </c>
      <c r="V31" s="49" t="s">
        <v>319</v>
      </c>
    </row>
    <row r="32" customFormat="false" ht="15.75" hidden="false" customHeight="true" outlineLevel="0" collapsed="false">
      <c r="A32" s="52" t="s">
        <v>28</v>
      </c>
      <c r="B32" s="53" t="s">
        <v>321</v>
      </c>
      <c r="C32" s="49" t="s">
        <v>319</v>
      </c>
      <c r="D32" s="49" t="s">
        <v>319</v>
      </c>
      <c r="E32" s="49" t="s">
        <v>319</v>
      </c>
      <c r="F32" s="49" t="s">
        <v>319</v>
      </c>
      <c r="G32" s="49" t="s">
        <v>319</v>
      </c>
      <c r="H32" s="49" t="s">
        <v>319</v>
      </c>
      <c r="I32" s="49" t="s">
        <v>319</v>
      </c>
      <c r="J32" s="49" t="s">
        <v>319</v>
      </c>
      <c r="K32" s="49" t="s">
        <v>319</v>
      </c>
      <c r="L32" s="49" t="s">
        <v>319</v>
      </c>
      <c r="M32" s="49" t="s">
        <v>319</v>
      </c>
      <c r="N32" s="49" t="s">
        <v>319</v>
      </c>
      <c r="O32" s="49" t="s">
        <v>319</v>
      </c>
      <c r="P32" s="49" t="s">
        <v>319</v>
      </c>
      <c r="Q32" s="49" t="s">
        <v>319</v>
      </c>
      <c r="R32" s="49" t="s">
        <v>319</v>
      </c>
      <c r="S32" s="49" t="s">
        <v>319</v>
      </c>
      <c r="T32" s="49" t="s">
        <v>319</v>
      </c>
      <c r="U32" s="49" t="s">
        <v>319</v>
      </c>
      <c r="V32" s="49" t="s">
        <v>319</v>
      </c>
    </row>
    <row r="33" customFormat="false" ht="15.75" hidden="false" customHeight="true" outlineLevel="0" collapsed="false">
      <c r="A33" s="50" t="s">
        <v>28</v>
      </c>
      <c r="B33" s="51" t="s">
        <v>322</v>
      </c>
      <c r="C33" s="49" t="s">
        <v>319</v>
      </c>
      <c r="D33" s="49" t="s">
        <v>319</v>
      </c>
      <c r="E33" s="49" t="s">
        <v>319</v>
      </c>
      <c r="F33" s="49" t="s">
        <v>319</v>
      </c>
      <c r="G33" s="49" t="s">
        <v>319</v>
      </c>
      <c r="H33" s="49" t="s">
        <v>319</v>
      </c>
      <c r="I33" s="49" t="s">
        <v>319</v>
      </c>
      <c r="J33" s="49" t="s">
        <v>319</v>
      </c>
      <c r="K33" s="49" t="s">
        <v>319</v>
      </c>
      <c r="L33" s="49" t="s">
        <v>319</v>
      </c>
      <c r="M33" s="49" t="s">
        <v>319</v>
      </c>
      <c r="N33" s="49" t="s">
        <v>319</v>
      </c>
      <c r="O33" s="49" t="s">
        <v>319</v>
      </c>
      <c r="P33" s="49" t="s">
        <v>319</v>
      </c>
      <c r="Q33" s="49" t="s">
        <v>319</v>
      </c>
      <c r="R33" s="49" t="s">
        <v>319</v>
      </c>
      <c r="S33" s="49" t="s">
        <v>319</v>
      </c>
      <c r="T33" s="49" t="s">
        <v>319</v>
      </c>
      <c r="U33" s="49" t="s">
        <v>319</v>
      </c>
      <c r="V33" s="49" t="s">
        <v>319</v>
      </c>
    </row>
    <row r="34" customFormat="false" ht="15.75" hidden="false" customHeight="true" outlineLevel="0" collapsed="false">
      <c r="A34" s="52" t="s">
        <v>28</v>
      </c>
      <c r="B34" s="53" t="s">
        <v>323</v>
      </c>
      <c r="C34" s="49" t="s">
        <v>319</v>
      </c>
      <c r="D34" s="49" t="s">
        <v>319</v>
      </c>
      <c r="E34" s="49" t="s">
        <v>319</v>
      </c>
      <c r="F34" s="49" t="s">
        <v>319</v>
      </c>
      <c r="G34" s="49" t="s">
        <v>319</v>
      </c>
      <c r="H34" s="49" t="s">
        <v>319</v>
      </c>
      <c r="I34" s="49" t="s">
        <v>319</v>
      </c>
      <c r="J34" s="49" t="s">
        <v>319</v>
      </c>
      <c r="K34" s="49" t="s">
        <v>319</v>
      </c>
      <c r="L34" s="49" t="s">
        <v>319</v>
      </c>
      <c r="M34" s="49" t="s">
        <v>319</v>
      </c>
      <c r="N34" s="49" t="s">
        <v>319</v>
      </c>
      <c r="O34" s="49" t="s">
        <v>319</v>
      </c>
      <c r="P34" s="49" t="s">
        <v>319</v>
      </c>
      <c r="Q34" s="49" t="s">
        <v>319</v>
      </c>
      <c r="R34" s="49" t="s">
        <v>319</v>
      </c>
      <c r="S34" s="49" t="s">
        <v>319</v>
      </c>
      <c r="T34" s="49" t="s">
        <v>319</v>
      </c>
      <c r="U34" s="49" t="s">
        <v>319</v>
      </c>
      <c r="V34" s="49" t="s">
        <v>319</v>
      </c>
    </row>
    <row r="35" customFormat="false" ht="15.75" hidden="false" customHeight="true" outlineLevel="0" collapsed="false">
      <c r="A35" s="47" t="s">
        <v>32</v>
      </c>
      <c r="B35" s="48" t="s">
        <v>318</v>
      </c>
      <c r="C35" s="49" t="s">
        <v>319</v>
      </c>
      <c r="D35" s="49" t="s">
        <v>319</v>
      </c>
      <c r="E35" s="49" t="s">
        <v>319</v>
      </c>
      <c r="F35" s="49" t="s">
        <v>319</v>
      </c>
      <c r="G35" s="49" t="s">
        <v>319</v>
      </c>
      <c r="H35" s="49" t="s">
        <v>319</v>
      </c>
      <c r="I35" s="49" t="s">
        <v>319</v>
      </c>
      <c r="J35" s="49" t="s">
        <v>319</v>
      </c>
      <c r="K35" s="49" t="s">
        <v>319</v>
      </c>
      <c r="L35" s="49" t="s">
        <v>319</v>
      </c>
      <c r="M35" s="49" t="s">
        <v>319</v>
      </c>
      <c r="N35" s="49" t="s">
        <v>319</v>
      </c>
      <c r="O35" s="49" t="s">
        <v>319</v>
      </c>
      <c r="P35" s="49" t="s">
        <v>319</v>
      </c>
      <c r="Q35" s="49" t="s">
        <v>319</v>
      </c>
      <c r="R35" s="49" t="s">
        <v>319</v>
      </c>
      <c r="S35" s="49" t="s">
        <v>319</v>
      </c>
      <c r="T35" s="49" t="s">
        <v>319</v>
      </c>
      <c r="U35" s="49" t="s">
        <v>319</v>
      </c>
      <c r="V35" s="49" t="s">
        <v>319</v>
      </c>
    </row>
    <row r="36" customFormat="false" ht="15.75" hidden="false" customHeight="true" outlineLevel="0" collapsed="false">
      <c r="A36" s="50" t="s">
        <v>32</v>
      </c>
      <c r="B36" s="51" t="s">
        <v>320</v>
      </c>
      <c r="C36" s="49" t="s">
        <v>319</v>
      </c>
      <c r="D36" s="49" t="s">
        <v>319</v>
      </c>
      <c r="E36" s="49" t="s">
        <v>319</v>
      </c>
      <c r="F36" s="49" t="s">
        <v>319</v>
      </c>
      <c r="G36" s="49" t="s">
        <v>319</v>
      </c>
      <c r="H36" s="49" t="s">
        <v>319</v>
      </c>
      <c r="I36" s="49" t="s">
        <v>319</v>
      </c>
      <c r="J36" s="49" t="s">
        <v>319</v>
      </c>
      <c r="K36" s="49" t="s">
        <v>319</v>
      </c>
      <c r="L36" s="49" t="s">
        <v>319</v>
      </c>
      <c r="M36" s="49" t="s">
        <v>319</v>
      </c>
      <c r="N36" s="49" t="s">
        <v>319</v>
      </c>
      <c r="O36" s="49" t="s">
        <v>319</v>
      </c>
      <c r="P36" s="49" t="s">
        <v>319</v>
      </c>
      <c r="Q36" s="49" t="s">
        <v>319</v>
      </c>
      <c r="R36" s="49" t="s">
        <v>319</v>
      </c>
      <c r="S36" s="49" t="s">
        <v>319</v>
      </c>
      <c r="T36" s="49" t="s">
        <v>319</v>
      </c>
      <c r="U36" s="49" t="s">
        <v>319</v>
      </c>
      <c r="V36" s="49" t="s">
        <v>319</v>
      </c>
    </row>
    <row r="37" customFormat="false" ht="15.75" hidden="false" customHeight="true" outlineLevel="0" collapsed="false">
      <c r="A37" s="52" t="s">
        <v>32</v>
      </c>
      <c r="B37" s="53" t="s">
        <v>321</v>
      </c>
      <c r="C37" s="49" t="s">
        <v>319</v>
      </c>
      <c r="D37" s="49" t="s">
        <v>319</v>
      </c>
      <c r="E37" s="49" t="s">
        <v>319</v>
      </c>
      <c r="F37" s="49" t="s">
        <v>319</v>
      </c>
      <c r="G37" s="49" t="s">
        <v>319</v>
      </c>
      <c r="H37" s="49" t="s">
        <v>319</v>
      </c>
      <c r="I37" s="49" t="s">
        <v>319</v>
      </c>
      <c r="J37" s="49" t="s">
        <v>319</v>
      </c>
      <c r="K37" s="49" t="s">
        <v>319</v>
      </c>
      <c r="L37" s="49" t="s">
        <v>319</v>
      </c>
      <c r="M37" s="49" t="s">
        <v>319</v>
      </c>
      <c r="N37" s="49" t="s">
        <v>319</v>
      </c>
      <c r="O37" s="49" t="s">
        <v>319</v>
      </c>
      <c r="P37" s="49" t="s">
        <v>319</v>
      </c>
      <c r="Q37" s="49" t="s">
        <v>319</v>
      </c>
      <c r="R37" s="49" t="s">
        <v>319</v>
      </c>
      <c r="S37" s="49" t="s">
        <v>319</v>
      </c>
      <c r="T37" s="49" t="s">
        <v>319</v>
      </c>
      <c r="U37" s="49" t="s">
        <v>319</v>
      </c>
      <c r="V37" s="49" t="s">
        <v>319</v>
      </c>
    </row>
    <row r="38" customFormat="false" ht="15.75" hidden="false" customHeight="true" outlineLevel="0" collapsed="false">
      <c r="A38" s="50" t="s">
        <v>32</v>
      </c>
      <c r="B38" s="51" t="s">
        <v>322</v>
      </c>
      <c r="C38" s="49" t="s">
        <v>319</v>
      </c>
      <c r="D38" s="49" t="s">
        <v>319</v>
      </c>
      <c r="E38" s="49" t="s">
        <v>319</v>
      </c>
      <c r="F38" s="49" t="s">
        <v>319</v>
      </c>
      <c r="G38" s="49" t="s">
        <v>319</v>
      </c>
      <c r="H38" s="49" t="s">
        <v>319</v>
      </c>
      <c r="I38" s="49" t="s">
        <v>319</v>
      </c>
      <c r="J38" s="49" t="s">
        <v>319</v>
      </c>
      <c r="K38" s="49" t="s">
        <v>319</v>
      </c>
      <c r="L38" s="49" t="s">
        <v>319</v>
      </c>
      <c r="M38" s="49" t="s">
        <v>319</v>
      </c>
      <c r="N38" s="49" t="s">
        <v>319</v>
      </c>
      <c r="O38" s="49" t="s">
        <v>319</v>
      </c>
      <c r="P38" s="49" t="s">
        <v>319</v>
      </c>
      <c r="Q38" s="49" t="s">
        <v>319</v>
      </c>
      <c r="R38" s="49" t="s">
        <v>319</v>
      </c>
      <c r="S38" s="49" t="s">
        <v>319</v>
      </c>
      <c r="T38" s="49" t="s">
        <v>319</v>
      </c>
      <c r="U38" s="49" t="s">
        <v>319</v>
      </c>
      <c r="V38" s="49" t="s">
        <v>319</v>
      </c>
    </row>
    <row r="39" customFormat="false" ht="15.75" hidden="false" customHeight="true" outlineLevel="0" collapsed="false">
      <c r="A39" s="52" t="s">
        <v>32</v>
      </c>
      <c r="B39" s="53" t="s">
        <v>323</v>
      </c>
      <c r="C39" s="49" t="s">
        <v>319</v>
      </c>
      <c r="D39" s="49" t="s">
        <v>319</v>
      </c>
      <c r="E39" s="49" t="s">
        <v>319</v>
      </c>
      <c r="F39" s="49" t="s">
        <v>319</v>
      </c>
      <c r="G39" s="49" t="s">
        <v>319</v>
      </c>
      <c r="H39" s="49" t="s">
        <v>319</v>
      </c>
      <c r="I39" s="49" t="s">
        <v>319</v>
      </c>
      <c r="J39" s="49" t="s">
        <v>319</v>
      </c>
      <c r="K39" s="49" t="s">
        <v>319</v>
      </c>
      <c r="L39" s="49" t="s">
        <v>319</v>
      </c>
      <c r="M39" s="49" t="s">
        <v>319</v>
      </c>
      <c r="N39" s="49" t="s">
        <v>319</v>
      </c>
      <c r="O39" s="49" t="s">
        <v>319</v>
      </c>
      <c r="P39" s="49" t="s">
        <v>319</v>
      </c>
      <c r="Q39" s="49" t="s">
        <v>319</v>
      </c>
      <c r="R39" s="49" t="s">
        <v>319</v>
      </c>
      <c r="S39" s="49" t="s">
        <v>319</v>
      </c>
      <c r="T39" s="49" t="s">
        <v>319</v>
      </c>
      <c r="U39" s="49" t="s">
        <v>319</v>
      </c>
      <c r="V39" s="49" t="s">
        <v>319</v>
      </c>
    </row>
    <row r="40" customFormat="false" ht="15.75" hidden="false" customHeight="true" outlineLevel="0" collapsed="false">
      <c r="A40" s="47" t="s">
        <v>36</v>
      </c>
      <c r="B40" s="48" t="s">
        <v>318</v>
      </c>
      <c r="C40" s="49" t="s">
        <v>319</v>
      </c>
      <c r="D40" s="49" t="s">
        <v>319</v>
      </c>
      <c r="E40" s="49" t="s">
        <v>319</v>
      </c>
      <c r="F40" s="49" t="s">
        <v>319</v>
      </c>
      <c r="G40" s="49" t="s">
        <v>319</v>
      </c>
      <c r="H40" s="49" t="s">
        <v>319</v>
      </c>
      <c r="I40" s="49" t="s">
        <v>319</v>
      </c>
      <c r="J40" s="49" t="s">
        <v>319</v>
      </c>
      <c r="K40" s="49" t="s">
        <v>319</v>
      </c>
      <c r="L40" s="49" t="s">
        <v>319</v>
      </c>
      <c r="M40" s="49" t="s">
        <v>319</v>
      </c>
      <c r="N40" s="49" t="s">
        <v>319</v>
      </c>
      <c r="O40" s="49" t="s">
        <v>319</v>
      </c>
      <c r="P40" s="49" t="s">
        <v>319</v>
      </c>
      <c r="Q40" s="49" t="s">
        <v>319</v>
      </c>
      <c r="R40" s="49" t="s">
        <v>319</v>
      </c>
      <c r="S40" s="49" t="s">
        <v>319</v>
      </c>
      <c r="T40" s="49" t="s">
        <v>319</v>
      </c>
      <c r="U40" s="49" t="s">
        <v>319</v>
      </c>
      <c r="V40" s="49" t="s">
        <v>319</v>
      </c>
    </row>
    <row r="41" customFormat="false" ht="15.75" hidden="false" customHeight="true" outlineLevel="0" collapsed="false">
      <c r="A41" s="50" t="s">
        <v>36</v>
      </c>
      <c r="B41" s="51" t="s">
        <v>320</v>
      </c>
      <c r="C41" s="49" t="s">
        <v>319</v>
      </c>
      <c r="D41" s="49" t="s">
        <v>319</v>
      </c>
      <c r="E41" s="49" t="s">
        <v>319</v>
      </c>
      <c r="F41" s="49" t="s">
        <v>319</v>
      </c>
      <c r="G41" s="49" t="s">
        <v>319</v>
      </c>
      <c r="H41" s="49" t="s">
        <v>319</v>
      </c>
      <c r="I41" s="49" t="s">
        <v>319</v>
      </c>
      <c r="J41" s="49" t="s">
        <v>319</v>
      </c>
      <c r="K41" s="49" t="s">
        <v>319</v>
      </c>
      <c r="L41" s="49" t="s">
        <v>319</v>
      </c>
      <c r="M41" s="49" t="s">
        <v>319</v>
      </c>
      <c r="N41" s="49" t="s">
        <v>319</v>
      </c>
      <c r="O41" s="49" t="s">
        <v>319</v>
      </c>
      <c r="P41" s="49" t="s">
        <v>319</v>
      </c>
      <c r="Q41" s="49" t="s">
        <v>319</v>
      </c>
      <c r="R41" s="49" t="s">
        <v>319</v>
      </c>
      <c r="S41" s="49" t="s">
        <v>319</v>
      </c>
      <c r="T41" s="49" t="s">
        <v>319</v>
      </c>
      <c r="U41" s="49" t="s">
        <v>319</v>
      </c>
      <c r="V41" s="49" t="s">
        <v>319</v>
      </c>
    </row>
    <row r="42" customFormat="false" ht="15.75" hidden="false" customHeight="true" outlineLevel="0" collapsed="false">
      <c r="A42" s="52" t="s">
        <v>36</v>
      </c>
      <c r="B42" s="53" t="s">
        <v>321</v>
      </c>
      <c r="C42" s="49" t="s">
        <v>319</v>
      </c>
      <c r="D42" s="49" t="s">
        <v>319</v>
      </c>
      <c r="E42" s="49" t="s">
        <v>319</v>
      </c>
      <c r="F42" s="49" t="s">
        <v>319</v>
      </c>
      <c r="G42" s="49" t="s">
        <v>319</v>
      </c>
      <c r="H42" s="49" t="s">
        <v>319</v>
      </c>
      <c r="I42" s="49" t="s">
        <v>319</v>
      </c>
      <c r="J42" s="49" t="s">
        <v>319</v>
      </c>
      <c r="K42" s="49" t="s">
        <v>319</v>
      </c>
      <c r="L42" s="49" t="s">
        <v>319</v>
      </c>
      <c r="M42" s="49" t="s">
        <v>319</v>
      </c>
      <c r="N42" s="49" t="s">
        <v>319</v>
      </c>
      <c r="O42" s="49" t="s">
        <v>319</v>
      </c>
      <c r="P42" s="49" t="s">
        <v>319</v>
      </c>
      <c r="Q42" s="49" t="s">
        <v>319</v>
      </c>
      <c r="R42" s="49" t="s">
        <v>319</v>
      </c>
      <c r="S42" s="49" t="s">
        <v>319</v>
      </c>
      <c r="T42" s="49" t="s">
        <v>319</v>
      </c>
      <c r="U42" s="49" t="s">
        <v>319</v>
      </c>
      <c r="V42" s="49" t="s">
        <v>319</v>
      </c>
    </row>
    <row r="43" customFormat="false" ht="15.75" hidden="false" customHeight="true" outlineLevel="0" collapsed="false">
      <c r="A43" s="50" t="s">
        <v>36</v>
      </c>
      <c r="B43" s="51" t="s">
        <v>322</v>
      </c>
      <c r="C43" s="49" t="s">
        <v>319</v>
      </c>
      <c r="D43" s="49" t="s">
        <v>319</v>
      </c>
      <c r="E43" s="49" t="s">
        <v>319</v>
      </c>
      <c r="F43" s="49" t="s">
        <v>319</v>
      </c>
      <c r="G43" s="49" t="s">
        <v>319</v>
      </c>
      <c r="H43" s="49" t="s">
        <v>319</v>
      </c>
      <c r="I43" s="49" t="s">
        <v>319</v>
      </c>
      <c r="J43" s="49" t="s">
        <v>319</v>
      </c>
      <c r="K43" s="49" t="s">
        <v>319</v>
      </c>
      <c r="L43" s="49" t="s">
        <v>319</v>
      </c>
      <c r="M43" s="49" t="s">
        <v>319</v>
      </c>
      <c r="N43" s="49" t="s">
        <v>319</v>
      </c>
      <c r="O43" s="49" t="s">
        <v>319</v>
      </c>
      <c r="P43" s="49" t="s">
        <v>319</v>
      </c>
      <c r="Q43" s="49" t="s">
        <v>319</v>
      </c>
      <c r="R43" s="49" t="s">
        <v>319</v>
      </c>
      <c r="S43" s="49" t="s">
        <v>319</v>
      </c>
      <c r="T43" s="49" t="s">
        <v>319</v>
      </c>
      <c r="U43" s="49" t="s">
        <v>319</v>
      </c>
      <c r="V43" s="49" t="s">
        <v>319</v>
      </c>
    </row>
    <row r="44" customFormat="false" ht="15.75" hidden="false" customHeight="true" outlineLevel="0" collapsed="false">
      <c r="A44" s="52" t="s">
        <v>36</v>
      </c>
      <c r="B44" s="53" t="s">
        <v>323</v>
      </c>
      <c r="C44" s="49" t="s">
        <v>319</v>
      </c>
      <c r="D44" s="49" t="s">
        <v>319</v>
      </c>
      <c r="E44" s="49" t="s">
        <v>319</v>
      </c>
      <c r="F44" s="49" t="s">
        <v>319</v>
      </c>
      <c r="G44" s="49" t="s">
        <v>319</v>
      </c>
      <c r="H44" s="49" t="s">
        <v>319</v>
      </c>
      <c r="I44" s="49" t="s">
        <v>319</v>
      </c>
      <c r="J44" s="49" t="s">
        <v>319</v>
      </c>
      <c r="K44" s="49" t="s">
        <v>319</v>
      </c>
      <c r="L44" s="49" t="s">
        <v>319</v>
      </c>
      <c r="M44" s="49" t="s">
        <v>319</v>
      </c>
      <c r="N44" s="49" t="s">
        <v>319</v>
      </c>
      <c r="O44" s="49" t="s">
        <v>319</v>
      </c>
      <c r="P44" s="49" t="s">
        <v>319</v>
      </c>
      <c r="Q44" s="49" t="s">
        <v>319</v>
      </c>
      <c r="R44" s="49" t="s">
        <v>319</v>
      </c>
      <c r="S44" s="49" t="s">
        <v>319</v>
      </c>
      <c r="T44" s="49" t="s">
        <v>319</v>
      </c>
      <c r="U44" s="49" t="s">
        <v>319</v>
      </c>
      <c r="V44" s="49" t="s">
        <v>319</v>
      </c>
    </row>
    <row r="45" customFormat="false" ht="15.75" hidden="false" customHeight="true" outlineLevel="0" collapsed="false">
      <c r="A45" s="47" t="s">
        <v>40</v>
      </c>
      <c r="B45" s="48" t="s">
        <v>318</v>
      </c>
      <c r="C45" s="49" t="s">
        <v>319</v>
      </c>
      <c r="D45" s="49" t="s">
        <v>319</v>
      </c>
      <c r="E45" s="49" t="s">
        <v>319</v>
      </c>
      <c r="F45" s="49" t="s">
        <v>319</v>
      </c>
      <c r="G45" s="49" t="s">
        <v>319</v>
      </c>
      <c r="H45" s="49" t="s">
        <v>319</v>
      </c>
      <c r="I45" s="49" t="s">
        <v>319</v>
      </c>
      <c r="J45" s="49" t="s">
        <v>319</v>
      </c>
      <c r="K45" s="49" t="s">
        <v>319</v>
      </c>
      <c r="L45" s="49" t="s">
        <v>319</v>
      </c>
      <c r="M45" s="49" t="s">
        <v>319</v>
      </c>
      <c r="N45" s="49" t="s">
        <v>319</v>
      </c>
      <c r="O45" s="49" t="s">
        <v>319</v>
      </c>
      <c r="P45" s="49" t="s">
        <v>319</v>
      </c>
      <c r="Q45" s="49" t="s">
        <v>319</v>
      </c>
      <c r="R45" s="49" t="s">
        <v>319</v>
      </c>
      <c r="S45" s="49" t="s">
        <v>319</v>
      </c>
      <c r="T45" s="49" t="s">
        <v>319</v>
      </c>
      <c r="U45" s="49" t="s">
        <v>319</v>
      </c>
      <c r="V45" s="49" t="s">
        <v>319</v>
      </c>
    </row>
    <row r="46" customFormat="false" ht="15.75" hidden="false" customHeight="true" outlineLevel="0" collapsed="false">
      <c r="A46" s="50" t="s">
        <v>40</v>
      </c>
      <c r="B46" s="51" t="s">
        <v>320</v>
      </c>
      <c r="C46" s="49" t="s">
        <v>319</v>
      </c>
      <c r="D46" s="49" t="s">
        <v>319</v>
      </c>
      <c r="E46" s="49" t="s">
        <v>319</v>
      </c>
      <c r="F46" s="49" t="s">
        <v>319</v>
      </c>
      <c r="G46" s="49" t="s">
        <v>319</v>
      </c>
      <c r="H46" s="49" t="s">
        <v>319</v>
      </c>
      <c r="I46" s="49" t="s">
        <v>319</v>
      </c>
      <c r="J46" s="49" t="s">
        <v>319</v>
      </c>
      <c r="K46" s="49" t="s">
        <v>319</v>
      </c>
      <c r="L46" s="49" t="s">
        <v>319</v>
      </c>
      <c r="M46" s="49" t="s">
        <v>319</v>
      </c>
      <c r="N46" s="49" t="s">
        <v>319</v>
      </c>
      <c r="O46" s="49" t="s">
        <v>319</v>
      </c>
      <c r="P46" s="49" t="s">
        <v>319</v>
      </c>
      <c r="Q46" s="49" t="s">
        <v>319</v>
      </c>
      <c r="R46" s="49" t="s">
        <v>319</v>
      </c>
      <c r="S46" s="49" t="s">
        <v>319</v>
      </c>
      <c r="T46" s="49" t="s">
        <v>319</v>
      </c>
      <c r="U46" s="49" t="s">
        <v>319</v>
      </c>
      <c r="V46" s="49" t="s">
        <v>319</v>
      </c>
    </row>
    <row r="47" customFormat="false" ht="15.75" hidden="false" customHeight="true" outlineLevel="0" collapsed="false">
      <c r="A47" s="52" t="s">
        <v>40</v>
      </c>
      <c r="B47" s="53" t="s">
        <v>321</v>
      </c>
      <c r="C47" s="49" t="s">
        <v>319</v>
      </c>
      <c r="D47" s="49" t="s">
        <v>319</v>
      </c>
      <c r="E47" s="49" t="s">
        <v>319</v>
      </c>
      <c r="F47" s="49" t="s">
        <v>319</v>
      </c>
      <c r="G47" s="49" t="s">
        <v>319</v>
      </c>
      <c r="H47" s="49" t="s">
        <v>319</v>
      </c>
      <c r="I47" s="49" t="s">
        <v>319</v>
      </c>
      <c r="J47" s="49" t="s">
        <v>319</v>
      </c>
      <c r="K47" s="49" t="s">
        <v>319</v>
      </c>
      <c r="L47" s="49" t="s">
        <v>319</v>
      </c>
      <c r="M47" s="49" t="s">
        <v>319</v>
      </c>
      <c r="N47" s="49" t="s">
        <v>319</v>
      </c>
      <c r="O47" s="49" t="s">
        <v>319</v>
      </c>
      <c r="P47" s="49" t="s">
        <v>319</v>
      </c>
      <c r="Q47" s="49" t="s">
        <v>319</v>
      </c>
      <c r="R47" s="49" t="s">
        <v>319</v>
      </c>
      <c r="S47" s="49" t="s">
        <v>319</v>
      </c>
      <c r="T47" s="49" t="s">
        <v>319</v>
      </c>
      <c r="U47" s="49" t="s">
        <v>319</v>
      </c>
      <c r="V47" s="49" t="s">
        <v>319</v>
      </c>
    </row>
    <row r="48" customFormat="false" ht="15.75" hidden="false" customHeight="true" outlineLevel="0" collapsed="false">
      <c r="A48" s="50" t="s">
        <v>40</v>
      </c>
      <c r="B48" s="51" t="s">
        <v>322</v>
      </c>
      <c r="C48" s="49" t="s">
        <v>319</v>
      </c>
      <c r="D48" s="49" t="s">
        <v>319</v>
      </c>
      <c r="E48" s="49" t="s">
        <v>319</v>
      </c>
      <c r="F48" s="49" t="s">
        <v>319</v>
      </c>
      <c r="G48" s="49" t="s">
        <v>319</v>
      </c>
      <c r="H48" s="49" t="s">
        <v>319</v>
      </c>
      <c r="I48" s="49" t="s">
        <v>319</v>
      </c>
      <c r="J48" s="49" t="s">
        <v>319</v>
      </c>
      <c r="K48" s="49" t="s">
        <v>319</v>
      </c>
      <c r="L48" s="49" t="s">
        <v>319</v>
      </c>
      <c r="M48" s="49" t="s">
        <v>319</v>
      </c>
      <c r="N48" s="49" t="s">
        <v>319</v>
      </c>
      <c r="O48" s="49" t="s">
        <v>319</v>
      </c>
      <c r="P48" s="49" t="s">
        <v>319</v>
      </c>
      <c r="Q48" s="49" t="s">
        <v>319</v>
      </c>
      <c r="R48" s="49" t="s">
        <v>319</v>
      </c>
      <c r="S48" s="49" t="s">
        <v>319</v>
      </c>
      <c r="T48" s="49" t="s">
        <v>319</v>
      </c>
      <c r="U48" s="49" t="s">
        <v>319</v>
      </c>
      <c r="V48" s="49" t="s">
        <v>319</v>
      </c>
    </row>
    <row r="49" customFormat="false" ht="15.75" hidden="false" customHeight="true" outlineLevel="0" collapsed="false">
      <c r="A49" s="52" t="s">
        <v>40</v>
      </c>
      <c r="B49" s="53" t="s">
        <v>323</v>
      </c>
      <c r="C49" s="49" t="s">
        <v>319</v>
      </c>
      <c r="D49" s="49" t="s">
        <v>319</v>
      </c>
      <c r="E49" s="49" t="s">
        <v>319</v>
      </c>
      <c r="F49" s="49" t="s">
        <v>319</v>
      </c>
      <c r="G49" s="49" t="s">
        <v>319</v>
      </c>
      <c r="H49" s="49" t="s">
        <v>319</v>
      </c>
      <c r="I49" s="49" t="s">
        <v>319</v>
      </c>
      <c r="J49" s="49" t="s">
        <v>319</v>
      </c>
      <c r="K49" s="49" t="s">
        <v>319</v>
      </c>
      <c r="L49" s="49" t="s">
        <v>319</v>
      </c>
      <c r="M49" s="49" t="s">
        <v>319</v>
      </c>
      <c r="N49" s="49" t="s">
        <v>319</v>
      </c>
      <c r="O49" s="49" t="s">
        <v>319</v>
      </c>
      <c r="P49" s="49" t="s">
        <v>319</v>
      </c>
      <c r="Q49" s="49" t="s">
        <v>319</v>
      </c>
      <c r="R49" s="49" t="s">
        <v>319</v>
      </c>
      <c r="S49" s="49" t="s">
        <v>319</v>
      </c>
      <c r="T49" s="49" t="s">
        <v>319</v>
      </c>
      <c r="U49" s="49" t="s">
        <v>319</v>
      </c>
      <c r="V49" s="49" t="s">
        <v>319</v>
      </c>
    </row>
    <row r="50" customFormat="false" ht="15.75" hidden="false" customHeight="true" outlineLevel="0" collapsed="false">
      <c r="A50" s="47" t="s">
        <v>299</v>
      </c>
      <c r="B50" s="48" t="s">
        <v>318</v>
      </c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</row>
    <row r="51" customFormat="false" ht="15.75" hidden="false" customHeight="true" outlineLevel="0" collapsed="false">
      <c r="A51" s="50" t="s">
        <v>299</v>
      </c>
      <c r="B51" s="51" t="s">
        <v>320</v>
      </c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</row>
    <row r="52" customFormat="false" ht="15.75" hidden="false" customHeight="true" outlineLevel="0" collapsed="false">
      <c r="A52" s="52" t="s">
        <v>299</v>
      </c>
      <c r="B52" s="53" t="s">
        <v>321</v>
      </c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</row>
    <row r="53" customFormat="false" ht="15.75" hidden="false" customHeight="true" outlineLevel="0" collapsed="false">
      <c r="A53" s="50" t="s">
        <v>299</v>
      </c>
      <c r="B53" s="51" t="s">
        <v>322</v>
      </c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</row>
    <row r="54" customFormat="false" ht="15.75" hidden="false" customHeight="true" outlineLevel="0" collapsed="false">
      <c r="A54" s="52" t="s">
        <v>299</v>
      </c>
      <c r="B54" s="53" t="s">
        <v>323</v>
      </c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</row>
    <row r="55" customFormat="false" ht="15.75" hidden="false" customHeight="true" outlineLevel="0" collapsed="false">
      <c r="A55" s="47" t="s">
        <v>300</v>
      </c>
      <c r="B55" s="48" t="s">
        <v>318</v>
      </c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</row>
    <row r="56" customFormat="false" ht="15.75" hidden="false" customHeight="true" outlineLevel="0" collapsed="false">
      <c r="A56" s="50" t="s">
        <v>300</v>
      </c>
      <c r="B56" s="51" t="s">
        <v>320</v>
      </c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</row>
    <row r="57" customFormat="false" ht="15.75" hidden="false" customHeight="true" outlineLevel="0" collapsed="false">
      <c r="A57" s="52" t="s">
        <v>300</v>
      </c>
      <c r="B57" s="53" t="s">
        <v>321</v>
      </c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</row>
    <row r="58" customFormat="false" ht="15.75" hidden="false" customHeight="true" outlineLevel="0" collapsed="false">
      <c r="A58" s="50" t="s">
        <v>300</v>
      </c>
      <c r="B58" s="51" t="s">
        <v>322</v>
      </c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</row>
    <row r="59" customFormat="false" ht="15.75" hidden="false" customHeight="true" outlineLevel="0" collapsed="false">
      <c r="A59" s="52" t="s">
        <v>300</v>
      </c>
      <c r="B59" s="53" t="s">
        <v>323</v>
      </c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</row>
    <row r="60" customFormat="false" ht="15.75" hidden="false" customHeight="true" outlineLevel="0" collapsed="false">
      <c r="A60" s="47" t="s">
        <v>302</v>
      </c>
      <c r="B60" s="48" t="s">
        <v>318</v>
      </c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</row>
    <row r="61" customFormat="false" ht="15.75" hidden="false" customHeight="true" outlineLevel="0" collapsed="false">
      <c r="A61" s="50" t="s">
        <v>302</v>
      </c>
      <c r="B61" s="51" t="s">
        <v>320</v>
      </c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</row>
    <row r="62" customFormat="false" ht="15.75" hidden="false" customHeight="true" outlineLevel="0" collapsed="false">
      <c r="A62" s="52" t="s">
        <v>302</v>
      </c>
      <c r="B62" s="53" t="s">
        <v>321</v>
      </c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</row>
    <row r="63" customFormat="false" ht="15.75" hidden="false" customHeight="true" outlineLevel="0" collapsed="false">
      <c r="A63" s="50" t="s">
        <v>302</v>
      </c>
      <c r="B63" s="51" t="s">
        <v>322</v>
      </c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</row>
    <row r="64" customFormat="false" ht="15.75" hidden="false" customHeight="true" outlineLevel="0" collapsed="false">
      <c r="A64" s="52" t="s">
        <v>302</v>
      </c>
      <c r="B64" s="53" t="s">
        <v>323</v>
      </c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</row>
    <row r="65" customFormat="false" ht="15.75" hidden="false" customHeight="true" outlineLevel="0" collapsed="false">
      <c r="A65" s="47" t="s">
        <v>305</v>
      </c>
      <c r="B65" s="48" t="s">
        <v>318</v>
      </c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</row>
    <row r="66" customFormat="false" ht="15.75" hidden="false" customHeight="true" outlineLevel="0" collapsed="false">
      <c r="A66" s="50" t="s">
        <v>305</v>
      </c>
      <c r="B66" s="51" t="s">
        <v>320</v>
      </c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</row>
    <row r="67" customFormat="false" ht="15.75" hidden="false" customHeight="true" outlineLevel="0" collapsed="false">
      <c r="A67" s="52" t="s">
        <v>305</v>
      </c>
      <c r="B67" s="53" t="s">
        <v>321</v>
      </c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</row>
    <row r="68" customFormat="false" ht="15.75" hidden="false" customHeight="true" outlineLevel="0" collapsed="false">
      <c r="A68" s="50" t="s">
        <v>305</v>
      </c>
      <c r="B68" s="51" t="s">
        <v>322</v>
      </c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</row>
    <row r="69" customFormat="false" ht="15.75" hidden="false" customHeight="true" outlineLevel="0" collapsed="false">
      <c r="A69" s="52" t="s">
        <v>305</v>
      </c>
      <c r="B69" s="53" t="s">
        <v>323</v>
      </c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</row>
    <row r="70" customFormat="false" ht="15.75" hidden="false" customHeight="true" outlineLevel="0" collapsed="false">
      <c r="A70" s="47" t="s">
        <v>306</v>
      </c>
      <c r="B70" s="48" t="s">
        <v>318</v>
      </c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</row>
    <row r="71" customFormat="false" ht="15.75" hidden="false" customHeight="true" outlineLevel="0" collapsed="false">
      <c r="A71" s="50" t="s">
        <v>306</v>
      </c>
      <c r="B71" s="51" t="s">
        <v>320</v>
      </c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</row>
    <row r="72" customFormat="false" ht="15.75" hidden="false" customHeight="true" outlineLevel="0" collapsed="false">
      <c r="A72" s="52" t="s">
        <v>306</v>
      </c>
      <c r="B72" s="53" t="s">
        <v>321</v>
      </c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</row>
    <row r="73" customFormat="false" ht="15.75" hidden="false" customHeight="true" outlineLevel="0" collapsed="false">
      <c r="A73" s="50" t="s">
        <v>306</v>
      </c>
      <c r="B73" s="51" t="s">
        <v>322</v>
      </c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</row>
    <row r="74" customFormat="false" ht="15.75" hidden="false" customHeight="true" outlineLevel="0" collapsed="false">
      <c r="A74" s="52" t="s">
        <v>306</v>
      </c>
      <c r="B74" s="53" t="s">
        <v>323</v>
      </c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</row>
  </sheetData>
  <mergeCells count="3">
    <mergeCell ref="A1:N1"/>
    <mergeCell ref="A3:D3"/>
    <mergeCell ref="A18:N18"/>
  </mergeCells>
  <conditionalFormatting sqref="C20:V74">
    <cfRule type="expression" priority="2" aboveAverage="0" equalAverage="0" bottom="0" percent="0" rank="0" text="" dxfId="24">
      <formula>C20="R"</formula>
    </cfRule>
  </conditionalFormatting>
  <dataValidations count="1">
    <dataValidation allowBlank="true" errorStyle="stop" operator="between" prompt="Type R = Reserved for this event&#10;Leave blank = Not reserved" promptTitle="Availability" showDropDown="false" showErrorMessage="false" showInputMessage="true" sqref="C20:V74" type="list">
      <formula1>"R"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563EB"/>
    <pageSetUpPr fitToPage="false"/>
  </sheetPr>
  <dimension ref="A1:M10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2" ySplit="3" topLeftCell="C4" activePane="bottomRight" state="frozen"/>
      <selection pane="topLeft" activeCell="A1" activeCellId="0" sqref="A1"/>
      <selection pane="topRight" activeCell="C1" activeCellId="0" sqref="C1"/>
      <selection pane="bottomLeft" activeCell="A4" activeCellId="0" sqref="A4"/>
      <selection pane="bottomRigh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2" min="1" style="0" width="7"/>
    <col collapsed="false" customWidth="true" hidden="false" outlineLevel="0" max="13" min="3" style="0" width="14"/>
  </cols>
  <sheetData>
    <row r="1" customFormat="false" ht="36" hidden="false" customHeight="true" outlineLevel="0" collapsed="false">
      <c r="A1" s="55" t="s">
        <v>324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</row>
    <row r="2" customFormat="false" ht="36" hidden="false" customHeight="true" outlineLevel="0" collapsed="false">
      <c r="A2" s="56" t="s">
        <v>1</v>
      </c>
      <c r="B2" s="56" t="s">
        <v>325</v>
      </c>
      <c r="C2" s="57" t="s">
        <v>326</v>
      </c>
      <c r="D2" s="57" t="s">
        <v>327</v>
      </c>
      <c r="E2" s="57" t="s">
        <v>328</v>
      </c>
      <c r="F2" s="57" t="s">
        <v>329</v>
      </c>
      <c r="G2" s="57" t="s">
        <v>330</v>
      </c>
      <c r="H2" s="57" t="s">
        <v>331</v>
      </c>
      <c r="I2" s="58" t="s">
        <v>332</v>
      </c>
      <c r="J2" s="58" t="s">
        <v>333</v>
      </c>
      <c r="K2" s="58" t="s">
        <v>334</v>
      </c>
      <c r="L2" s="58" t="s">
        <v>335</v>
      </c>
      <c r="M2" s="58" t="s">
        <v>336</v>
      </c>
    </row>
    <row r="3" customFormat="false" ht="18" hidden="false" customHeight="true" outlineLevel="0" collapsed="false">
      <c r="A3" s="59"/>
      <c r="B3" s="59"/>
      <c r="C3" s="49" t="s">
        <v>337</v>
      </c>
      <c r="D3" s="49" t="s">
        <v>337</v>
      </c>
      <c r="E3" s="49" t="s">
        <v>337</v>
      </c>
      <c r="F3" s="49" t="s">
        <v>337</v>
      </c>
      <c r="G3" s="49" t="s">
        <v>337</v>
      </c>
      <c r="H3" s="49" t="s">
        <v>337</v>
      </c>
      <c r="I3" s="60" t="s">
        <v>338</v>
      </c>
      <c r="J3" s="60" t="s">
        <v>338</v>
      </c>
      <c r="K3" s="60" t="s">
        <v>338</v>
      </c>
      <c r="L3" s="60" t="s">
        <v>338</v>
      </c>
      <c r="M3" s="60" t="s">
        <v>338</v>
      </c>
    </row>
    <row r="4" customFormat="false" ht="19.5" hidden="false" customHeight="true" outlineLevel="0" collapsed="false">
      <c r="A4" s="61" t="s">
        <v>318</v>
      </c>
      <c r="B4" s="62" t="s">
        <v>312</v>
      </c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</row>
    <row r="5" customFormat="false" ht="19.5" hidden="false" customHeight="true" outlineLevel="0" collapsed="false">
      <c r="A5" s="64" t="s">
        <v>318</v>
      </c>
      <c r="B5" s="65" t="s">
        <v>313</v>
      </c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</row>
    <row r="6" customFormat="false" ht="19.5" hidden="false" customHeight="true" outlineLevel="0" collapsed="false">
      <c r="A6" s="67" t="s">
        <v>318</v>
      </c>
      <c r="B6" s="68" t="s">
        <v>13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</row>
    <row r="7" customFormat="false" ht="19.5" hidden="false" customHeight="true" outlineLevel="0" collapsed="false">
      <c r="A7" s="64" t="s">
        <v>318</v>
      </c>
      <c r="B7" s="65" t="s">
        <v>314</v>
      </c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</row>
    <row r="8" customFormat="false" ht="19.5" hidden="false" customHeight="true" outlineLevel="0" collapsed="false">
      <c r="A8" s="67" t="s">
        <v>318</v>
      </c>
      <c r="B8" s="68" t="s">
        <v>14</v>
      </c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</row>
    <row r="9" customFormat="false" ht="19.5" hidden="false" customHeight="true" outlineLevel="0" collapsed="false">
      <c r="A9" s="64" t="s">
        <v>318</v>
      </c>
      <c r="B9" s="65" t="s">
        <v>20</v>
      </c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</row>
    <row r="10" customFormat="false" ht="19.5" hidden="false" customHeight="true" outlineLevel="0" collapsed="false">
      <c r="A10" s="67" t="s">
        <v>318</v>
      </c>
      <c r="B10" s="68" t="s">
        <v>67</v>
      </c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</row>
    <row r="11" customFormat="false" ht="19.5" hidden="false" customHeight="true" outlineLevel="0" collapsed="false">
      <c r="A11" s="64" t="s">
        <v>318</v>
      </c>
      <c r="B11" s="65" t="s">
        <v>315</v>
      </c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</row>
    <row r="12" customFormat="false" ht="19.5" hidden="false" customHeight="true" outlineLevel="0" collapsed="false">
      <c r="A12" s="67" t="s">
        <v>318</v>
      </c>
      <c r="B12" s="68" t="s">
        <v>21</v>
      </c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</row>
    <row r="13" customFormat="false" ht="19.5" hidden="false" customHeight="true" outlineLevel="0" collapsed="false">
      <c r="A13" s="64" t="s">
        <v>318</v>
      </c>
      <c r="B13" s="65" t="s">
        <v>91</v>
      </c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</row>
    <row r="14" customFormat="false" ht="19.5" hidden="false" customHeight="true" outlineLevel="0" collapsed="false">
      <c r="A14" s="67" t="s">
        <v>318</v>
      </c>
      <c r="B14" s="68" t="s">
        <v>38</v>
      </c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</row>
    <row r="15" customFormat="false" ht="19.5" hidden="false" customHeight="true" outlineLevel="0" collapsed="false">
      <c r="A15" s="64" t="s">
        <v>318</v>
      </c>
      <c r="B15" s="65" t="s">
        <v>96</v>
      </c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</row>
    <row r="16" customFormat="false" ht="19.5" hidden="false" customHeight="true" outlineLevel="0" collapsed="false">
      <c r="A16" s="67" t="s">
        <v>318</v>
      </c>
      <c r="B16" s="68" t="s">
        <v>112</v>
      </c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</row>
    <row r="17" customFormat="false" ht="19.5" hidden="false" customHeight="true" outlineLevel="0" collapsed="false">
      <c r="A17" s="64" t="s">
        <v>318</v>
      </c>
      <c r="B17" s="65" t="s">
        <v>42</v>
      </c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</row>
    <row r="18" customFormat="false" ht="19.5" hidden="false" customHeight="true" outlineLevel="0" collapsed="false">
      <c r="A18" s="67" t="s">
        <v>318</v>
      </c>
      <c r="B18" s="68" t="s">
        <v>51</v>
      </c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</row>
    <row r="19" customFormat="false" ht="19.5" hidden="false" customHeight="true" outlineLevel="0" collapsed="false">
      <c r="A19" s="64" t="s">
        <v>318</v>
      </c>
      <c r="B19" s="65" t="s">
        <v>101</v>
      </c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</row>
    <row r="20" customFormat="false" ht="19.5" hidden="false" customHeight="true" outlineLevel="0" collapsed="false">
      <c r="A20" s="67" t="s">
        <v>318</v>
      </c>
      <c r="B20" s="68" t="s">
        <v>316</v>
      </c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</row>
    <row r="21" customFormat="false" ht="19.5" hidden="false" customHeight="true" outlineLevel="0" collapsed="false">
      <c r="A21" s="64" t="s">
        <v>318</v>
      </c>
      <c r="B21" s="65" t="s">
        <v>53</v>
      </c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</row>
    <row r="22" customFormat="false" ht="19.5" hidden="false" customHeight="true" outlineLevel="0" collapsed="false">
      <c r="A22" s="67" t="s">
        <v>318</v>
      </c>
      <c r="B22" s="68" t="s">
        <v>102</v>
      </c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</row>
    <row r="23" customFormat="false" ht="19.5" hidden="false" customHeight="true" outlineLevel="0" collapsed="false">
      <c r="A23" s="64" t="s">
        <v>318</v>
      </c>
      <c r="B23" s="65" t="s">
        <v>317</v>
      </c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</row>
    <row r="24" customFormat="false" ht="19.5" hidden="false" customHeight="true" outlineLevel="0" collapsed="false">
      <c r="A24" s="61" t="s">
        <v>320</v>
      </c>
      <c r="B24" s="62" t="s">
        <v>312</v>
      </c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</row>
    <row r="25" customFormat="false" ht="19.5" hidden="false" customHeight="true" outlineLevel="0" collapsed="false">
      <c r="A25" s="64" t="s">
        <v>320</v>
      </c>
      <c r="B25" s="65" t="s">
        <v>313</v>
      </c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</row>
    <row r="26" customFormat="false" ht="19.5" hidden="false" customHeight="true" outlineLevel="0" collapsed="false">
      <c r="A26" s="67" t="s">
        <v>320</v>
      </c>
      <c r="B26" s="68" t="s">
        <v>13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customFormat="false" ht="19.5" hidden="false" customHeight="true" outlineLevel="0" collapsed="false">
      <c r="A27" s="64" t="s">
        <v>320</v>
      </c>
      <c r="B27" s="65" t="s">
        <v>314</v>
      </c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</row>
    <row r="28" customFormat="false" ht="19.5" hidden="false" customHeight="true" outlineLevel="0" collapsed="false">
      <c r="A28" s="67" t="s">
        <v>320</v>
      </c>
      <c r="B28" s="68" t="s">
        <v>14</v>
      </c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</row>
    <row r="29" customFormat="false" ht="19.5" hidden="false" customHeight="true" outlineLevel="0" collapsed="false">
      <c r="A29" s="64" t="s">
        <v>320</v>
      </c>
      <c r="B29" s="65" t="s">
        <v>20</v>
      </c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</row>
    <row r="30" customFormat="false" ht="19.5" hidden="false" customHeight="true" outlineLevel="0" collapsed="false">
      <c r="A30" s="67" t="s">
        <v>320</v>
      </c>
      <c r="B30" s="68" t="s">
        <v>67</v>
      </c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</row>
    <row r="31" customFormat="false" ht="19.5" hidden="false" customHeight="true" outlineLevel="0" collapsed="false">
      <c r="A31" s="64" t="s">
        <v>320</v>
      </c>
      <c r="B31" s="65" t="s">
        <v>315</v>
      </c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</row>
    <row r="32" customFormat="false" ht="19.5" hidden="false" customHeight="true" outlineLevel="0" collapsed="false">
      <c r="A32" s="67" t="s">
        <v>320</v>
      </c>
      <c r="B32" s="68" t="s">
        <v>21</v>
      </c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</row>
    <row r="33" customFormat="false" ht="19.5" hidden="false" customHeight="true" outlineLevel="0" collapsed="false">
      <c r="A33" s="64" t="s">
        <v>320</v>
      </c>
      <c r="B33" s="65" t="s">
        <v>91</v>
      </c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</row>
    <row r="34" customFormat="false" ht="19.5" hidden="false" customHeight="true" outlineLevel="0" collapsed="false">
      <c r="A34" s="67" t="s">
        <v>320</v>
      </c>
      <c r="B34" s="68" t="s">
        <v>38</v>
      </c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</row>
    <row r="35" customFormat="false" ht="19.5" hidden="false" customHeight="true" outlineLevel="0" collapsed="false">
      <c r="A35" s="64" t="s">
        <v>320</v>
      </c>
      <c r="B35" s="65" t="s">
        <v>96</v>
      </c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</row>
    <row r="36" customFormat="false" ht="19.5" hidden="false" customHeight="true" outlineLevel="0" collapsed="false">
      <c r="A36" s="67" t="s">
        <v>320</v>
      </c>
      <c r="B36" s="68" t="s">
        <v>112</v>
      </c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</row>
    <row r="37" customFormat="false" ht="19.5" hidden="false" customHeight="true" outlineLevel="0" collapsed="false">
      <c r="A37" s="64" t="s">
        <v>320</v>
      </c>
      <c r="B37" s="65" t="s">
        <v>42</v>
      </c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</row>
    <row r="38" customFormat="false" ht="19.5" hidden="false" customHeight="true" outlineLevel="0" collapsed="false">
      <c r="A38" s="67" t="s">
        <v>320</v>
      </c>
      <c r="B38" s="68" t="s">
        <v>51</v>
      </c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</row>
    <row r="39" customFormat="false" ht="19.5" hidden="false" customHeight="true" outlineLevel="0" collapsed="false">
      <c r="A39" s="64" t="s">
        <v>320</v>
      </c>
      <c r="B39" s="65" t="s">
        <v>101</v>
      </c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</row>
    <row r="40" customFormat="false" ht="19.5" hidden="false" customHeight="true" outlineLevel="0" collapsed="false">
      <c r="A40" s="67" t="s">
        <v>320</v>
      </c>
      <c r="B40" s="68" t="s">
        <v>316</v>
      </c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</row>
    <row r="41" customFormat="false" ht="19.5" hidden="false" customHeight="true" outlineLevel="0" collapsed="false">
      <c r="A41" s="64" t="s">
        <v>320</v>
      </c>
      <c r="B41" s="65" t="s">
        <v>53</v>
      </c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</row>
    <row r="42" customFormat="false" ht="19.5" hidden="false" customHeight="true" outlineLevel="0" collapsed="false">
      <c r="A42" s="67" t="s">
        <v>320</v>
      </c>
      <c r="B42" s="68" t="s">
        <v>102</v>
      </c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</row>
    <row r="43" customFormat="false" ht="19.5" hidden="false" customHeight="true" outlineLevel="0" collapsed="false">
      <c r="A43" s="64" t="s">
        <v>320</v>
      </c>
      <c r="B43" s="65" t="s">
        <v>317</v>
      </c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</row>
    <row r="44" customFormat="false" ht="19.5" hidden="false" customHeight="true" outlineLevel="0" collapsed="false">
      <c r="A44" s="61" t="s">
        <v>321</v>
      </c>
      <c r="B44" s="62" t="s">
        <v>312</v>
      </c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</row>
    <row r="45" customFormat="false" ht="19.5" hidden="false" customHeight="true" outlineLevel="0" collapsed="false">
      <c r="A45" s="64" t="s">
        <v>321</v>
      </c>
      <c r="B45" s="65" t="s">
        <v>313</v>
      </c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</row>
    <row r="46" customFormat="false" ht="19.5" hidden="false" customHeight="true" outlineLevel="0" collapsed="false">
      <c r="A46" s="67" t="s">
        <v>321</v>
      </c>
      <c r="B46" s="68" t="s">
        <v>13</v>
      </c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</row>
    <row r="47" customFormat="false" ht="19.5" hidden="false" customHeight="true" outlineLevel="0" collapsed="false">
      <c r="A47" s="64" t="s">
        <v>321</v>
      </c>
      <c r="B47" s="65" t="s">
        <v>314</v>
      </c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</row>
    <row r="48" customFormat="false" ht="19.5" hidden="false" customHeight="true" outlineLevel="0" collapsed="false">
      <c r="A48" s="67" t="s">
        <v>321</v>
      </c>
      <c r="B48" s="68" t="s">
        <v>14</v>
      </c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</row>
    <row r="49" customFormat="false" ht="19.5" hidden="false" customHeight="true" outlineLevel="0" collapsed="false">
      <c r="A49" s="64" t="s">
        <v>321</v>
      </c>
      <c r="B49" s="65" t="s">
        <v>20</v>
      </c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</row>
    <row r="50" customFormat="false" ht="19.5" hidden="false" customHeight="true" outlineLevel="0" collapsed="false">
      <c r="A50" s="67" t="s">
        <v>321</v>
      </c>
      <c r="B50" s="68" t="s">
        <v>67</v>
      </c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</row>
    <row r="51" customFormat="false" ht="19.5" hidden="false" customHeight="true" outlineLevel="0" collapsed="false">
      <c r="A51" s="64" t="s">
        <v>321</v>
      </c>
      <c r="B51" s="65" t="s">
        <v>315</v>
      </c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</row>
    <row r="52" customFormat="false" ht="19.5" hidden="false" customHeight="true" outlineLevel="0" collapsed="false">
      <c r="A52" s="67" t="s">
        <v>321</v>
      </c>
      <c r="B52" s="68" t="s">
        <v>21</v>
      </c>
      <c r="C52" s="66"/>
      <c r="D52" s="66"/>
      <c r="E52" s="66"/>
      <c r="F52" s="66"/>
      <c r="G52" s="66"/>
      <c r="H52" s="66"/>
      <c r="I52" s="66"/>
      <c r="J52" s="66"/>
      <c r="K52" s="66"/>
      <c r="L52" s="66"/>
      <c r="M52" s="66"/>
    </row>
    <row r="53" customFormat="false" ht="19.5" hidden="false" customHeight="true" outlineLevel="0" collapsed="false">
      <c r="A53" s="64" t="s">
        <v>321</v>
      </c>
      <c r="B53" s="65" t="s">
        <v>91</v>
      </c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</row>
    <row r="54" customFormat="false" ht="19.5" hidden="false" customHeight="true" outlineLevel="0" collapsed="false">
      <c r="A54" s="67" t="s">
        <v>321</v>
      </c>
      <c r="B54" s="68" t="s">
        <v>38</v>
      </c>
      <c r="C54" s="66"/>
      <c r="D54" s="66"/>
      <c r="E54" s="66"/>
      <c r="F54" s="66"/>
      <c r="G54" s="66"/>
      <c r="H54" s="66"/>
      <c r="I54" s="66"/>
      <c r="J54" s="66"/>
      <c r="K54" s="66"/>
      <c r="L54" s="66"/>
      <c r="M54" s="66"/>
    </row>
    <row r="55" customFormat="false" ht="19.5" hidden="false" customHeight="true" outlineLevel="0" collapsed="false">
      <c r="A55" s="64" t="s">
        <v>321</v>
      </c>
      <c r="B55" s="65" t="s">
        <v>96</v>
      </c>
      <c r="C55" s="66"/>
      <c r="D55" s="66"/>
      <c r="E55" s="66"/>
      <c r="F55" s="66"/>
      <c r="G55" s="66"/>
      <c r="H55" s="66"/>
      <c r="I55" s="66"/>
      <c r="J55" s="66"/>
      <c r="K55" s="66"/>
      <c r="L55" s="66"/>
      <c r="M55" s="66"/>
    </row>
    <row r="56" customFormat="false" ht="19.5" hidden="false" customHeight="true" outlineLevel="0" collapsed="false">
      <c r="A56" s="67" t="s">
        <v>321</v>
      </c>
      <c r="B56" s="68" t="s">
        <v>112</v>
      </c>
      <c r="C56" s="66"/>
      <c r="D56" s="66"/>
      <c r="E56" s="66"/>
      <c r="F56" s="66"/>
      <c r="G56" s="66"/>
      <c r="H56" s="66"/>
      <c r="I56" s="66"/>
      <c r="J56" s="66"/>
      <c r="K56" s="66"/>
      <c r="L56" s="66"/>
      <c r="M56" s="66"/>
    </row>
    <row r="57" customFormat="false" ht="19.5" hidden="false" customHeight="true" outlineLevel="0" collapsed="false">
      <c r="A57" s="64" t="s">
        <v>321</v>
      </c>
      <c r="B57" s="65" t="s">
        <v>42</v>
      </c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</row>
    <row r="58" customFormat="false" ht="19.5" hidden="false" customHeight="true" outlineLevel="0" collapsed="false">
      <c r="A58" s="67" t="s">
        <v>321</v>
      </c>
      <c r="B58" s="68" t="s">
        <v>51</v>
      </c>
      <c r="C58" s="66"/>
      <c r="D58" s="66"/>
      <c r="E58" s="66"/>
      <c r="F58" s="66"/>
      <c r="G58" s="66"/>
      <c r="H58" s="66"/>
      <c r="I58" s="66"/>
      <c r="J58" s="66"/>
      <c r="K58" s="66"/>
      <c r="L58" s="66"/>
      <c r="M58" s="66"/>
    </row>
    <row r="59" customFormat="false" ht="19.5" hidden="false" customHeight="true" outlineLevel="0" collapsed="false">
      <c r="A59" s="64" t="s">
        <v>321</v>
      </c>
      <c r="B59" s="65" t="s">
        <v>101</v>
      </c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</row>
    <row r="60" customFormat="false" ht="19.5" hidden="false" customHeight="true" outlineLevel="0" collapsed="false">
      <c r="A60" s="67" t="s">
        <v>321</v>
      </c>
      <c r="B60" s="68" t="s">
        <v>316</v>
      </c>
      <c r="C60" s="66"/>
      <c r="D60" s="66"/>
      <c r="E60" s="66"/>
      <c r="F60" s="66"/>
      <c r="G60" s="66"/>
      <c r="H60" s="66"/>
      <c r="I60" s="66"/>
      <c r="J60" s="66"/>
      <c r="K60" s="66"/>
      <c r="L60" s="66"/>
      <c r="M60" s="66"/>
    </row>
    <row r="61" customFormat="false" ht="19.5" hidden="false" customHeight="true" outlineLevel="0" collapsed="false">
      <c r="A61" s="64" t="s">
        <v>321</v>
      </c>
      <c r="B61" s="65" t="s">
        <v>53</v>
      </c>
      <c r="C61" s="66"/>
      <c r="D61" s="66"/>
      <c r="E61" s="66"/>
      <c r="F61" s="66"/>
      <c r="G61" s="66"/>
      <c r="H61" s="66"/>
      <c r="I61" s="66"/>
      <c r="J61" s="66"/>
      <c r="K61" s="66"/>
      <c r="L61" s="66"/>
      <c r="M61" s="66"/>
    </row>
    <row r="62" customFormat="false" ht="19.5" hidden="false" customHeight="true" outlineLevel="0" collapsed="false">
      <c r="A62" s="67" t="s">
        <v>321</v>
      </c>
      <c r="B62" s="68" t="s">
        <v>102</v>
      </c>
      <c r="C62" s="66"/>
      <c r="D62" s="66"/>
      <c r="E62" s="66"/>
      <c r="F62" s="66"/>
      <c r="G62" s="66"/>
      <c r="H62" s="66"/>
      <c r="I62" s="66"/>
      <c r="J62" s="66"/>
      <c r="K62" s="66"/>
      <c r="L62" s="66"/>
      <c r="M62" s="66"/>
    </row>
    <row r="63" customFormat="false" ht="19.5" hidden="false" customHeight="true" outlineLevel="0" collapsed="false">
      <c r="A63" s="64" t="s">
        <v>321</v>
      </c>
      <c r="B63" s="65" t="s">
        <v>317</v>
      </c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66"/>
    </row>
    <row r="64" customFormat="false" ht="19.5" hidden="false" customHeight="true" outlineLevel="0" collapsed="false">
      <c r="A64" s="61" t="s">
        <v>322</v>
      </c>
      <c r="B64" s="62" t="s">
        <v>312</v>
      </c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3"/>
    </row>
    <row r="65" customFormat="false" ht="19.5" hidden="false" customHeight="true" outlineLevel="0" collapsed="false">
      <c r="A65" s="64" t="s">
        <v>322</v>
      </c>
      <c r="B65" s="65" t="s">
        <v>313</v>
      </c>
      <c r="C65" s="66"/>
      <c r="D65" s="66"/>
      <c r="E65" s="66"/>
      <c r="F65" s="66"/>
      <c r="G65" s="66"/>
      <c r="H65" s="66"/>
      <c r="I65" s="66"/>
      <c r="J65" s="66"/>
      <c r="K65" s="66"/>
      <c r="L65" s="66"/>
      <c r="M65" s="66"/>
    </row>
    <row r="66" customFormat="false" ht="19.5" hidden="false" customHeight="true" outlineLevel="0" collapsed="false">
      <c r="A66" s="67" t="s">
        <v>322</v>
      </c>
      <c r="B66" s="68" t="s">
        <v>13</v>
      </c>
      <c r="C66" s="66"/>
      <c r="D66" s="66"/>
      <c r="E66" s="66"/>
      <c r="F66" s="66"/>
      <c r="G66" s="66"/>
      <c r="H66" s="66"/>
      <c r="I66" s="66"/>
      <c r="J66" s="66"/>
      <c r="K66" s="66"/>
      <c r="L66" s="66"/>
      <c r="M66" s="66"/>
    </row>
    <row r="67" customFormat="false" ht="19.5" hidden="false" customHeight="true" outlineLevel="0" collapsed="false">
      <c r="A67" s="64" t="s">
        <v>322</v>
      </c>
      <c r="B67" s="65" t="s">
        <v>314</v>
      </c>
      <c r="C67" s="66"/>
      <c r="D67" s="66"/>
      <c r="E67" s="66"/>
      <c r="F67" s="66"/>
      <c r="G67" s="66"/>
      <c r="H67" s="66"/>
      <c r="I67" s="66"/>
      <c r="J67" s="66"/>
      <c r="K67" s="66"/>
      <c r="L67" s="66"/>
      <c r="M67" s="66"/>
    </row>
    <row r="68" customFormat="false" ht="19.5" hidden="false" customHeight="true" outlineLevel="0" collapsed="false">
      <c r="A68" s="67" t="s">
        <v>322</v>
      </c>
      <c r="B68" s="68" t="s">
        <v>14</v>
      </c>
      <c r="C68" s="66"/>
      <c r="D68" s="66"/>
      <c r="E68" s="66"/>
      <c r="F68" s="66"/>
      <c r="G68" s="66"/>
      <c r="H68" s="66"/>
      <c r="I68" s="66"/>
      <c r="J68" s="66"/>
      <c r="K68" s="66"/>
      <c r="L68" s="66"/>
      <c r="M68" s="66"/>
    </row>
    <row r="69" customFormat="false" ht="19.5" hidden="false" customHeight="true" outlineLevel="0" collapsed="false">
      <c r="A69" s="64" t="s">
        <v>322</v>
      </c>
      <c r="B69" s="65" t="s">
        <v>20</v>
      </c>
      <c r="C69" s="66"/>
      <c r="D69" s="66"/>
      <c r="E69" s="66"/>
      <c r="F69" s="66"/>
      <c r="G69" s="66"/>
      <c r="H69" s="66"/>
      <c r="I69" s="66"/>
      <c r="J69" s="66"/>
      <c r="K69" s="66"/>
      <c r="L69" s="66"/>
      <c r="M69" s="66"/>
    </row>
    <row r="70" customFormat="false" ht="19.5" hidden="false" customHeight="true" outlineLevel="0" collapsed="false">
      <c r="A70" s="67" t="s">
        <v>322</v>
      </c>
      <c r="B70" s="68" t="s">
        <v>67</v>
      </c>
      <c r="C70" s="66"/>
      <c r="D70" s="66"/>
      <c r="E70" s="66"/>
      <c r="F70" s="66"/>
      <c r="G70" s="66"/>
      <c r="H70" s="66"/>
      <c r="I70" s="66"/>
      <c r="J70" s="66"/>
      <c r="K70" s="66"/>
      <c r="L70" s="66"/>
      <c r="M70" s="66"/>
    </row>
    <row r="71" customFormat="false" ht="19.5" hidden="false" customHeight="true" outlineLevel="0" collapsed="false">
      <c r="A71" s="64" t="s">
        <v>322</v>
      </c>
      <c r="B71" s="65" t="s">
        <v>315</v>
      </c>
      <c r="C71" s="66"/>
      <c r="D71" s="66"/>
      <c r="E71" s="66"/>
      <c r="F71" s="66"/>
      <c r="G71" s="66"/>
      <c r="H71" s="66"/>
      <c r="I71" s="66"/>
      <c r="J71" s="66"/>
      <c r="K71" s="66"/>
      <c r="L71" s="66"/>
      <c r="M71" s="66"/>
    </row>
    <row r="72" customFormat="false" ht="19.5" hidden="false" customHeight="true" outlineLevel="0" collapsed="false">
      <c r="A72" s="67" t="s">
        <v>322</v>
      </c>
      <c r="B72" s="68" t="s">
        <v>21</v>
      </c>
      <c r="C72" s="66"/>
      <c r="D72" s="66"/>
      <c r="E72" s="66"/>
      <c r="F72" s="66"/>
      <c r="G72" s="66"/>
      <c r="H72" s="66"/>
      <c r="I72" s="66"/>
      <c r="J72" s="66"/>
      <c r="K72" s="66"/>
      <c r="L72" s="66"/>
      <c r="M72" s="66"/>
    </row>
    <row r="73" customFormat="false" ht="19.5" hidden="false" customHeight="true" outlineLevel="0" collapsed="false">
      <c r="A73" s="64" t="s">
        <v>322</v>
      </c>
      <c r="B73" s="65" t="s">
        <v>91</v>
      </c>
      <c r="C73" s="66"/>
      <c r="D73" s="66"/>
      <c r="E73" s="66"/>
      <c r="F73" s="66"/>
      <c r="G73" s="66"/>
      <c r="H73" s="66"/>
      <c r="I73" s="66"/>
      <c r="J73" s="66"/>
      <c r="K73" s="66"/>
      <c r="L73" s="66"/>
      <c r="M73" s="66"/>
    </row>
    <row r="74" customFormat="false" ht="19.5" hidden="false" customHeight="true" outlineLevel="0" collapsed="false">
      <c r="A74" s="67" t="s">
        <v>322</v>
      </c>
      <c r="B74" s="68" t="s">
        <v>38</v>
      </c>
      <c r="C74" s="66"/>
      <c r="D74" s="66"/>
      <c r="E74" s="66"/>
      <c r="F74" s="66"/>
      <c r="G74" s="66"/>
      <c r="H74" s="66"/>
      <c r="I74" s="66"/>
      <c r="J74" s="66"/>
      <c r="K74" s="66"/>
      <c r="L74" s="66"/>
      <c r="M74" s="66"/>
    </row>
    <row r="75" customFormat="false" ht="19.5" hidden="false" customHeight="true" outlineLevel="0" collapsed="false">
      <c r="A75" s="64" t="s">
        <v>322</v>
      </c>
      <c r="B75" s="65" t="s">
        <v>96</v>
      </c>
      <c r="C75" s="66"/>
      <c r="D75" s="66"/>
      <c r="E75" s="66"/>
      <c r="F75" s="66"/>
      <c r="G75" s="66"/>
      <c r="H75" s="66"/>
      <c r="I75" s="66"/>
      <c r="J75" s="66"/>
      <c r="K75" s="66"/>
      <c r="L75" s="66"/>
      <c r="M75" s="66"/>
    </row>
    <row r="76" customFormat="false" ht="19.5" hidden="false" customHeight="true" outlineLevel="0" collapsed="false">
      <c r="A76" s="67" t="s">
        <v>322</v>
      </c>
      <c r="B76" s="68" t="s">
        <v>112</v>
      </c>
      <c r="C76" s="66"/>
      <c r="D76" s="66"/>
      <c r="E76" s="66"/>
      <c r="F76" s="66"/>
      <c r="G76" s="66"/>
      <c r="H76" s="66"/>
      <c r="I76" s="66"/>
      <c r="J76" s="66"/>
      <c r="K76" s="66"/>
      <c r="L76" s="66"/>
      <c r="M76" s="66"/>
    </row>
    <row r="77" customFormat="false" ht="19.5" hidden="false" customHeight="true" outlineLevel="0" collapsed="false">
      <c r="A77" s="64" t="s">
        <v>322</v>
      </c>
      <c r="B77" s="65" t="s">
        <v>42</v>
      </c>
      <c r="C77" s="66"/>
      <c r="D77" s="66"/>
      <c r="E77" s="66"/>
      <c r="F77" s="66"/>
      <c r="G77" s="66"/>
      <c r="H77" s="66"/>
      <c r="I77" s="66"/>
      <c r="J77" s="66"/>
      <c r="K77" s="66"/>
      <c r="L77" s="66"/>
      <c r="M77" s="66"/>
    </row>
    <row r="78" customFormat="false" ht="19.5" hidden="false" customHeight="true" outlineLevel="0" collapsed="false">
      <c r="A78" s="67" t="s">
        <v>322</v>
      </c>
      <c r="B78" s="68" t="s">
        <v>51</v>
      </c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66"/>
    </row>
    <row r="79" customFormat="false" ht="19.5" hidden="false" customHeight="true" outlineLevel="0" collapsed="false">
      <c r="A79" s="64" t="s">
        <v>322</v>
      </c>
      <c r="B79" s="65" t="s">
        <v>101</v>
      </c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66"/>
    </row>
    <row r="80" customFormat="false" ht="19.5" hidden="false" customHeight="true" outlineLevel="0" collapsed="false">
      <c r="A80" s="67" t="s">
        <v>322</v>
      </c>
      <c r="B80" s="68" t="s">
        <v>316</v>
      </c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</row>
    <row r="81" customFormat="false" ht="19.5" hidden="false" customHeight="true" outlineLevel="0" collapsed="false">
      <c r="A81" s="64" t="s">
        <v>322</v>
      </c>
      <c r="B81" s="65" t="s">
        <v>53</v>
      </c>
      <c r="C81" s="66"/>
      <c r="D81" s="66"/>
      <c r="E81" s="66"/>
      <c r="F81" s="66"/>
      <c r="G81" s="66"/>
      <c r="H81" s="66"/>
      <c r="I81" s="66"/>
      <c r="J81" s="66"/>
      <c r="K81" s="66"/>
      <c r="L81" s="66"/>
      <c r="M81" s="66"/>
    </row>
    <row r="82" customFormat="false" ht="19.5" hidden="false" customHeight="true" outlineLevel="0" collapsed="false">
      <c r="A82" s="67" t="s">
        <v>322</v>
      </c>
      <c r="B82" s="68" t="s">
        <v>102</v>
      </c>
      <c r="C82" s="66"/>
      <c r="D82" s="66"/>
      <c r="E82" s="66"/>
      <c r="F82" s="66"/>
      <c r="G82" s="66"/>
      <c r="H82" s="66"/>
      <c r="I82" s="66"/>
      <c r="J82" s="66"/>
      <c r="K82" s="66"/>
      <c r="L82" s="66"/>
      <c r="M82" s="66"/>
    </row>
    <row r="83" customFormat="false" ht="19.5" hidden="false" customHeight="true" outlineLevel="0" collapsed="false">
      <c r="A83" s="64" t="s">
        <v>322</v>
      </c>
      <c r="B83" s="65" t="s">
        <v>317</v>
      </c>
      <c r="C83" s="66"/>
      <c r="D83" s="66"/>
      <c r="E83" s="66"/>
      <c r="F83" s="66"/>
      <c r="G83" s="66"/>
      <c r="H83" s="66"/>
      <c r="I83" s="66"/>
      <c r="J83" s="66"/>
      <c r="K83" s="66"/>
      <c r="L83" s="66"/>
      <c r="M83" s="66"/>
    </row>
    <row r="84" customFormat="false" ht="19.5" hidden="false" customHeight="true" outlineLevel="0" collapsed="false">
      <c r="A84" s="61" t="s">
        <v>323</v>
      </c>
      <c r="B84" s="62" t="s">
        <v>312</v>
      </c>
      <c r="C84" s="63"/>
      <c r="D84" s="63"/>
      <c r="E84" s="63"/>
      <c r="F84" s="63"/>
      <c r="G84" s="63"/>
      <c r="H84" s="63"/>
      <c r="I84" s="63"/>
      <c r="J84" s="63"/>
      <c r="K84" s="63"/>
      <c r="L84" s="63"/>
      <c r="M84" s="63"/>
    </row>
    <row r="85" customFormat="false" ht="19.5" hidden="false" customHeight="true" outlineLevel="0" collapsed="false">
      <c r="A85" s="64" t="s">
        <v>323</v>
      </c>
      <c r="B85" s="65" t="s">
        <v>313</v>
      </c>
      <c r="C85" s="66"/>
      <c r="D85" s="66"/>
      <c r="E85" s="66"/>
      <c r="F85" s="66"/>
      <c r="G85" s="66"/>
      <c r="H85" s="66"/>
      <c r="I85" s="66"/>
      <c r="J85" s="66"/>
      <c r="K85" s="66"/>
      <c r="L85" s="66"/>
      <c r="M85" s="66"/>
    </row>
    <row r="86" customFormat="false" ht="19.5" hidden="false" customHeight="true" outlineLevel="0" collapsed="false">
      <c r="A86" s="67" t="s">
        <v>323</v>
      </c>
      <c r="B86" s="68" t="s">
        <v>13</v>
      </c>
      <c r="C86" s="66"/>
      <c r="D86" s="66"/>
      <c r="E86" s="66"/>
      <c r="F86" s="66"/>
      <c r="G86" s="66"/>
      <c r="H86" s="66"/>
      <c r="I86" s="66"/>
      <c r="J86" s="66"/>
      <c r="K86" s="66"/>
      <c r="L86" s="66"/>
      <c r="M86" s="66"/>
    </row>
    <row r="87" customFormat="false" ht="19.5" hidden="false" customHeight="true" outlineLevel="0" collapsed="false">
      <c r="A87" s="64" t="s">
        <v>323</v>
      </c>
      <c r="B87" s="65" t="s">
        <v>314</v>
      </c>
      <c r="C87" s="66"/>
      <c r="D87" s="66"/>
      <c r="E87" s="66"/>
      <c r="F87" s="66"/>
      <c r="G87" s="66"/>
      <c r="H87" s="66"/>
      <c r="I87" s="66"/>
      <c r="J87" s="66"/>
      <c r="K87" s="66"/>
      <c r="L87" s="66"/>
      <c r="M87" s="66"/>
    </row>
    <row r="88" customFormat="false" ht="19.5" hidden="false" customHeight="true" outlineLevel="0" collapsed="false">
      <c r="A88" s="67" t="s">
        <v>323</v>
      </c>
      <c r="B88" s="68" t="s">
        <v>14</v>
      </c>
      <c r="C88" s="66"/>
      <c r="D88" s="66"/>
      <c r="E88" s="66"/>
      <c r="F88" s="66"/>
      <c r="G88" s="66"/>
      <c r="H88" s="66"/>
      <c r="I88" s="66"/>
      <c r="J88" s="66"/>
      <c r="K88" s="66"/>
      <c r="L88" s="66"/>
      <c r="M88" s="66"/>
    </row>
    <row r="89" customFormat="false" ht="19.5" hidden="false" customHeight="true" outlineLevel="0" collapsed="false">
      <c r="A89" s="64" t="s">
        <v>323</v>
      </c>
      <c r="B89" s="65" t="s">
        <v>20</v>
      </c>
      <c r="C89" s="66"/>
      <c r="D89" s="66"/>
      <c r="E89" s="66"/>
      <c r="F89" s="66"/>
      <c r="G89" s="66"/>
      <c r="H89" s="66"/>
      <c r="I89" s="66"/>
      <c r="J89" s="66"/>
      <c r="K89" s="66"/>
      <c r="L89" s="66"/>
      <c r="M89" s="66"/>
    </row>
    <row r="90" customFormat="false" ht="19.5" hidden="false" customHeight="true" outlineLevel="0" collapsed="false">
      <c r="A90" s="67" t="s">
        <v>323</v>
      </c>
      <c r="B90" s="68" t="s">
        <v>67</v>
      </c>
      <c r="C90" s="66"/>
      <c r="D90" s="66"/>
      <c r="E90" s="66"/>
      <c r="F90" s="66"/>
      <c r="G90" s="66"/>
      <c r="H90" s="66"/>
      <c r="I90" s="66"/>
      <c r="J90" s="66"/>
      <c r="K90" s="66"/>
      <c r="L90" s="66"/>
      <c r="M90" s="66"/>
    </row>
    <row r="91" customFormat="false" ht="19.5" hidden="false" customHeight="true" outlineLevel="0" collapsed="false">
      <c r="A91" s="64" t="s">
        <v>323</v>
      </c>
      <c r="B91" s="65" t="s">
        <v>315</v>
      </c>
      <c r="C91" s="66"/>
      <c r="D91" s="66"/>
      <c r="E91" s="66"/>
      <c r="F91" s="66"/>
      <c r="G91" s="66"/>
      <c r="H91" s="66"/>
      <c r="I91" s="66"/>
      <c r="J91" s="66"/>
      <c r="K91" s="66"/>
      <c r="L91" s="66"/>
      <c r="M91" s="66"/>
    </row>
    <row r="92" customFormat="false" ht="19.5" hidden="false" customHeight="true" outlineLevel="0" collapsed="false">
      <c r="A92" s="67" t="s">
        <v>323</v>
      </c>
      <c r="B92" s="68" t="s">
        <v>21</v>
      </c>
      <c r="C92" s="66"/>
      <c r="D92" s="66"/>
      <c r="E92" s="66"/>
      <c r="F92" s="66"/>
      <c r="G92" s="66"/>
      <c r="H92" s="66"/>
      <c r="I92" s="66"/>
      <c r="J92" s="66"/>
      <c r="K92" s="66"/>
      <c r="L92" s="66"/>
      <c r="M92" s="66"/>
    </row>
    <row r="93" customFormat="false" ht="19.5" hidden="false" customHeight="true" outlineLevel="0" collapsed="false">
      <c r="A93" s="64" t="s">
        <v>323</v>
      </c>
      <c r="B93" s="65" t="s">
        <v>91</v>
      </c>
      <c r="C93" s="66"/>
      <c r="D93" s="66"/>
      <c r="E93" s="66"/>
      <c r="F93" s="66"/>
      <c r="G93" s="66"/>
      <c r="H93" s="66"/>
      <c r="I93" s="66"/>
      <c r="J93" s="66"/>
      <c r="K93" s="66"/>
      <c r="L93" s="66"/>
      <c r="M93" s="66"/>
    </row>
    <row r="94" customFormat="false" ht="19.5" hidden="false" customHeight="true" outlineLevel="0" collapsed="false">
      <c r="A94" s="67" t="s">
        <v>323</v>
      </c>
      <c r="B94" s="68" t="s">
        <v>38</v>
      </c>
      <c r="C94" s="66"/>
      <c r="D94" s="66"/>
      <c r="E94" s="66"/>
      <c r="F94" s="66"/>
      <c r="G94" s="66"/>
      <c r="H94" s="66"/>
      <c r="I94" s="66"/>
      <c r="J94" s="66"/>
      <c r="K94" s="66"/>
      <c r="L94" s="66"/>
      <c r="M94" s="66"/>
    </row>
    <row r="95" customFormat="false" ht="19.5" hidden="false" customHeight="true" outlineLevel="0" collapsed="false">
      <c r="A95" s="64" t="s">
        <v>323</v>
      </c>
      <c r="B95" s="65" t="s">
        <v>96</v>
      </c>
      <c r="C95" s="66"/>
      <c r="D95" s="66"/>
      <c r="E95" s="66"/>
      <c r="F95" s="66"/>
      <c r="G95" s="66"/>
      <c r="H95" s="66"/>
      <c r="I95" s="66"/>
      <c r="J95" s="66"/>
      <c r="K95" s="66"/>
      <c r="L95" s="66"/>
      <c r="M95" s="66"/>
    </row>
    <row r="96" customFormat="false" ht="19.5" hidden="false" customHeight="true" outlineLevel="0" collapsed="false">
      <c r="A96" s="67" t="s">
        <v>323</v>
      </c>
      <c r="B96" s="68" t="s">
        <v>112</v>
      </c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66"/>
    </row>
    <row r="97" customFormat="false" ht="19.5" hidden="false" customHeight="true" outlineLevel="0" collapsed="false">
      <c r="A97" s="64" t="s">
        <v>323</v>
      </c>
      <c r="B97" s="65" t="s">
        <v>42</v>
      </c>
      <c r="C97" s="66"/>
      <c r="D97" s="66"/>
      <c r="E97" s="66"/>
      <c r="F97" s="66"/>
      <c r="G97" s="66"/>
      <c r="H97" s="66"/>
      <c r="I97" s="66"/>
      <c r="J97" s="66"/>
      <c r="K97" s="66"/>
      <c r="L97" s="66"/>
      <c r="M97" s="66"/>
    </row>
    <row r="98" customFormat="false" ht="19.5" hidden="false" customHeight="true" outlineLevel="0" collapsed="false">
      <c r="A98" s="67" t="s">
        <v>323</v>
      </c>
      <c r="B98" s="68" t="s">
        <v>51</v>
      </c>
      <c r="C98" s="66"/>
      <c r="D98" s="66"/>
      <c r="E98" s="66"/>
      <c r="F98" s="66"/>
      <c r="G98" s="66"/>
      <c r="H98" s="66"/>
      <c r="I98" s="66"/>
      <c r="J98" s="66"/>
      <c r="K98" s="66"/>
      <c r="L98" s="66"/>
      <c r="M98" s="66"/>
    </row>
    <row r="99" customFormat="false" ht="19.5" hidden="false" customHeight="true" outlineLevel="0" collapsed="false">
      <c r="A99" s="64" t="s">
        <v>323</v>
      </c>
      <c r="B99" s="65" t="s">
        <v>101</v>
      </c>
      <c r="C99" s="66"/>
      <c r="D99" s="66"/>
      <c r="E99" s="66"/>
      <c r="F99" s="66"/>
      <c r="G99" s="66"/>
      <c r="H99" s="66"/>
      <c r="I99" s="66"/>
      <c r="J99" s="66"/>
      <c r="K99" s="66"/>
      <c r="L99" s="66"/>
      <c r="M99" s="66"/>
    </row>
    <row r="100" customFormat="false" ht="19.5" hidden="false" customHeight="true" outlineLevel="0" collapsed="false">
      <c r="A100" s="67" t="s">
        <v>323</v>
      </c>
      <c r="B100" s="68" t="s">
        <v>316</v>
      </c>
      <c r="C100" s="66"/>
      <c r="D100" s="66"/>
      <c r="E100" s="66"/>
      <c r="F100" s="66"/>
      <c r="G100" s="66"/>
      <c r="H100" s="66"/>
      <c r="I100" s="66"/>
      <c r="J100" s="66"/>
      <c r="K100" s="66"/>
      <c r="L100" s="66"/>
      <c r="M100" s="66"/>
    </row>
    <row r="101" customFormat="false" ht="19.5" hidden="false" customHeight="true" outlineLevel="0" collapsed="false">
      <c r="A101" s="64" t="s">
        <v>323</v>
      </c>
      <c r="B101" s="65" t="s">
        <v>53</v>
      </c>
      <c r="C101" s="66"/>
      <c r="D101" s="66"/>
      <c r="E101" s="66"/>
      <c r="F101" s="66"/>
      <c r="G101" s="66"/>
      <c r="H101" s="66"/>
      <c r="I101" s="66"/>
      <c r="J101" s="66"/>
      <c r="K101" s="66"/>
      <c r="L101" s="66"/>
      <c r="M101" s="66"/>
    </row>
    <row r="102" customFormat="false" ht="19.5" hidden="false" customHeight="true" outlineLevel="0" collapsed="false">
      <c r="A102" s="67" t="s">
        <v>323</v>
      </c>
      <c r="B102" s="68" t="s">
        <v>102</v>
      </c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</row>
    <row r="103" customFormat="false" ht="19.5" hidden="false" customHeight="true" outlineLevel="0" collapsed="false">
      <c r="A103" s="64" t="s">
        <v>323</v>
      </c>
      <c r="B103" s="65" t="s">
        <v>317</v>
      </c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</row>
    <row r="105" customFormat="false" ht="30" hidden="false" customHeight="true" outlineLevel="0" collapsed="false">
      <c r="A105" s="69" t="s">
        <v>339</v>
      </c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  <c r="M105" s="69"/>
    </row>
    <row r="106" customFormat="false" ht="15" hidden="false" customHeight="true" outlineLevel="0" collapsed="false">
      <c r="A106" s="69" t="s">
        <v>340</v>
      </c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  <c r="M106" s="69"/>
    </row>
  </sheetData>
  <mergeCells count="3">
    <mergeCell ref="A1:M1"/>
    <mergeCell ref="A105:M105"/>
    <mergeCell ref="A106:M106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B3A5F"/>
    <pageSetUpPr fitToPage="true"/>
  </sheetPr>
  <dimension ref="A1:AW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6"/>
    <col collapsed="false" customWidth="true" hidden="false" outlineLevel="0" max="2" min="2" style="0" width="16"/>
    <col collapsed="false" customWidth="true" hidden="false" outlineLevel="0" max="3" min="3" style="0" width="12"/>
    <col collapsed="false" customWidth="true" hidden="false" outlineLevel="0" max="4" min="4" style="0" width="16"/>
    <col collapsed="false" customWidth="true" hidden="false" outlineLevel="0" max="5" min="5" style="0" width="12"/>
    <col collapsed="false" customWidth="true" hidden="false" outlineLevel="0" max="6" min="6" style="0" width="16"/>
    <col collapsed="false" customWidth="true" hidden="false" outlineLevel="0" max="7" min="7" style="0" width="12"/>
    <col collapsed="false" customWidth="true" hidden="false" outlineLevel="0" max="8" min="8" style="0" width="16"/>
    <col collapsed="false" customWidth="true" hidden="false" outlineLevel="0" max="9" min="9" style="0" width="12"/>
    <col collapsed="false" customWidth="true" hidden="false" outlineLevel="0" max="10" min="10" style="0" width="1.51"/>
    <col collapsed="false" customWidth="true" hidden="false" outlineLevel="0" max="11" min="11" style="0" width="6"/>
    <col collapsed="false" customWidth="true" hidden="false" outlineLevel="0" max="12" min="12" style="0" width="16"/>
    <col collapsed="false" customWidth="true" hidden="false" outlineLevel="0" max="13" min="13" style="0" width="12"/>
    <col collapsed="false" customWidth="true" hidden="false" outlineLevel="0" max="14" min="14" style="0" width="16"/>
    <col collapsed="false" customWidth="true" hidden="false" outlineLevel="0" max="15" min="15" style="0" width="12"/>
    <col collapsed="false" customWidth="true" hidden="false" outlineLevel="0" max="16" min="16" style="0" width="16"/>
    <col collapsed="false" customWidth="true" hidden="false" outlineLevel="0" max="17" min="17" style="0" width="12"/>
    <col collapsed="false" customWidth="true" hidden="false" outlineLevel="0" max="18" min="18" style="0" width="16"/>
    <col collapsed="false" customWidth="true" hidden="false" outlineLevel="0" max="19" min="19" style="0" width="12"/>
    <col collapsed="false" customWidth="true" hidden="false" outlineLevel="0" max="20" min="20" style="0" width="1.51"/>
    <col collapsed="false" customWidth="true" hidden="false" outlineLevel="0" max="21" min="21" style="0" width="6"/>
    <col collapsed="false" customWidth="true" hidden="false" outlineLevel="0" max="22" min="22" style="0" width="16"/>
    <col collapsed="false" customWidth="true" hidden="false" outlineLevel="0" max="23" min="23" style="0" width="12"/>
    <col collapsed="false" customWidth="true" hidden="false" outlineLevel="0" max="24" min="24" style="0" width="16"/>
    <col collapsed="false" customWidth="true" hidden="false" outlineLevel="0" max="25" min="25" style="0" width="12"/>
    <col collapsed="false" customWidth="true" hidden="false" outlineLevel="0" max="26" min="26" style="0" width="16"/>
    <col collapsed="false" customWidth="true" hidden="false" outlineLevel="0" max="27" min="27" style="0" width="12"/>
    <col collapsed="false" customWidth="true" hidden="false" outlineLevel="0" max="28" min="28" style="0" width="16"/>
    <col collapsed="false" customWidth="true" hidden="false" outlineLevel="0" max="29" min="29" style="0" width="12"/>
    <col collapsed="false" customWidth="true" hidden="false" outlineLevel="0" max="30" min="30" style="0" width="1.51"/>
    <col collapsed="false" customWidth="true" hidden="false" outlineLevel="0" max="31" min="31" style="0" width="6"/>
    <col collapsed="false" customWidth="true" hidden="false" outlineLevel="0" max="32" min="32" style="0" width="16"/>
    <col collapsed="false" customWidth="true" hidden="false" outlineLevel="0" max="33" min="33" style="0" width="12"/>
    <col collapsed="false" customWidth="true" hidden="false" outlineLevel="0" max="34" min="34" style="0" width="16"/>
    <col collapsed="false" customWidth="true" hidden="false" outlineLevel="0" max="35" min="35" style="0" width="12"/>
    <col collapsed="false" customWidth="true" hidden="false" outlineLevel="0" max="36" min="36" style="0" width="16"/>
    <col collapsed="false" customWidth="true" hidden="false" outlineLevel="0" max="37" min="37" style="0" width="12"/>
    <col collapsed="false" customWidth="true" hidden="false" outlineLevel="0" max="38" min="38" style="0" width="16"/>
    <col collapsed="false" customWidth="true" hidden="false" outlineLevel="0" max="39" min="39" style="0" width="12"/>
    <col collapsed="false" customWidth="true" hidden="false" outlineLevel="0" max="40" min="40" style="0" width="1.51"/>
    <col collapsed="false" customWidth="true" hidden="false" outlineLevel="0" max="41" min="41" style="0" width="6"/>
    <col collapsed="false" customWidth="true" hidden="false" outlineLevel="0" max="42" min="42" style="0" width="16"/>
    <col collapsed="false" customWidth="true" hidden="false" outlineLevel="0" max="43" min="43" style="0" width="12"/>
    <col collapsed="false" customWidth="true" hidden="false" outlineLevel="0" max="44" min="44" style="0" width="16"/>
    <col collapsed="false" customWidth="true" hidden="false" outlineLevel="0" max="45" min="45" style="0" width="12"/>
    <col collapsed="false" customWidth="true" hidden="false" outlineLevel="0" max="46" min="46" style="0" width="16"/>
    <col collapsed="false" customWidth="true" hidden="false" outlineLevel="0" max="47" min="47" style="0" width="12"/>
    <col collapsed="false" customWidth="true" hidden="false" outlineLevel="0" max="48" min="48" style="0" width="16"/>
    <col collapsed="false" customWidth="true" hidden="false" outlineLevel="0" max="49" min="49" style="0" width="12"/>
  </cols>
  <sheetData>
    <row r="1" customFormat="false" ht="36" hidden="false" customHeight="true" outlineLevel="0" collapsed="false">
      <c r="A1" s="55" t="s">
        <v>341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</row>
    <row r="2" customFormat="false" ht="27.75" hidden="false" customHeight="true" outlineLevel="0" collapsed="false">
      <c r="A2" s="70" t="s">
        <v>342</v>
      </c>
      <c r="B2" s="70"/>
      <c r="C2" s="70"/>
      <c r="D2" s="70"/>
      <c r="E2" s="70"/>
      <c r="F2" s="70"/>
      <c r="G2" s="70"/>
      <c r="H2" s="70"/>
      <c r="I2" s="70"/>
      <c r="J2" s="71"/>
      <c r="K2" s="72" t="s">
        <v>343</v>
      </c>
      <c r="L2" s="72"/>
      <c r="M2" s="72"/>
      <c r="N2" s="72"/>
      <c r="O2" s="72"/>
      <c r="P2" s="72"/>
      <c r="Q2" s="72"/>
      <c r="R2" s="72"/>
      <c r="S2" s="72"/>
      <c r="T2" s="71"/>
      <c r="U2" s="70" t="s">
        <v>344</v>
      </c>
      <c r="V2" s="70"/>
      <c r="W2" s="70"/>
      <c r="X2" s="70"/>
      <c r="Y2" s="70"/>
      <c r="Z2" s="70"/>
      <c r="AA2" s="70"/>
      <c r="AB2" s="70"/>
      <c r="AC2" s="70"/>
      <c r="AD2" s="71"/>
      <c r="AE2" s="72" t="s">
        <v>345</v>
      </c>
      <c r="AF2" s="72"/>
      <c r="AG2" s="72"/>
      <c r="AH2" s="72"/>
      <c r="AI2" s="72"/>
      <c r="AJ2" s="72"/>
      <c r="AK2" s="72"/>
      <c r="AL2" s="72"/>
      <c r="AM2" s="72"/>
      <c r="AN2" s="71"/>
      <c r="AO2" s="70" t="s">
        <v>346</v>
      </c>
      <c r="AP2" s="70"/>
      <c r="AQ2" s="70"/>
      <c r="AR2" s="70"/>
      <c r="AS2" s="70"/>
      <c r="AT2" s="70"/>
      <c r="AU2" s="70"/>
      <c r="AV2" s="70"/>
      <c r="AW2" s="70"/>
    </row>
    <row r="3" customFormat="false" ht="19.5" hidden="false" customHeight="true" outlineLevel="0" collapsed="false">
      <c r="A3" s="73" t="s">
        <v>325</v>
      </c>
      <c r="B3" s="74" t="s">
        <v>347</v>
      </c>
      <c r="C3" s="74" t="s">
        <v>5</v>
      </c>
      <c r="D3" s="75" t="s">
        <v>347</v>
      </c>
      <c r="E3" s="75" t="s">
        <v>5</v>
      </c>
      <c r="F3" s="76" t="s">
        <v>347</v>
      </c>
      <c r="G3" s="76" t="s">
        <v>5</v>
      </c>
      <c r="H3" s="77" t="s">
        <v>347</v>
      </c>
      <c r="I3" s="77" t="s">
        <v>5</v>
      </c>
      <c r="J3" s="71"/>
      <c r="K3" s="73" t="s">
        <v>325</v>
      </c>
      <c r="L3" s="74" t="s">
        <v>347</v>
      </c>
      <c r="M3" s="74" t="s">
        <v>5</v>
      </c>
      <c r="N3" s="75" t="s">
        <v>347</v>
      </c>
      <c r="O3" s="75" t="s">
        <v>5</v>
      </c>
      <c r="P3" s="76" t="s">
        <v>347</v>
      </c>
      <c r="Q3" s="76" t="s">
        <v>5</v>
      </c>
      <c r="R3" s="77" t="s">
        <v>347</v>
      </c>
      <c r="S3" s="77" t="s">
        <v>5</v>
      </c>
      <c r="T3" s="71"/>
      <c r="U3" s="73" t="s">
        <v>325</v>
      </c>
      <c r="V3" s="74" t="s">
        <v>347</v>
      </c>
      <c r="W3" s="74" t="s">
        <v>5</v>
      </c>
      <c r="X3" s="75" t="s">
        <v>347</v>
      </c>
      <c r="Y3" s="75" t="s">
        <v>5</v>
      </c>
      <c r="Z3" s="76" t="s">
        <v>347</v>
      </c>
      <c r="AA3" s="76" t="s">
        <v>5</v>
      </c>
      <c r="AB3" s="77" t="s">
        <v>347</v>
      </c>
      <c r="AC3" s="77" t="s">
        <v>5</v>
      </c>
      <c r="AD3" s="71"/>
      <c r="AE3" s="73" t="s">
        <v>325</v>
      </c>
      <c r="AF3" s="74" t="s">
        <v>347</v>
      </c>
      <c r="AG3" s="74" t="s">
        <v>5</v>
      </c>
      <c r="AH3" s="75" t="s">
        <v>347</v>
      </c>
      <c r="AI3" s="75" t="s">
        <v>5</v>
      </c>
      <c r="AJ3" s="76" t="s">
        <v>347</v>
      </c>
      <c r="AK3" s="76" t="s">
        <v>5</v>
      </c>
      <c r="AL3" s="77" t="s">
        <v>347</v>
      </c>
      <c r="AM3" s="77" t="s">
        <v>5</v>
      </c>
      <c r="AN3" s="71"/>
      <c r="AO3" s="73" t="s">
        <v>325</v>
      </c>
      <c r="AP3" s="74" t="s">
        <v>347</v>
      </c>
      <c r="AQ3" s="74" t="s">
        <v>5</v>
      </c>
      <c r="AR3" s="75" t="s">
        <v>347</v>
      </c>
      <c r="AS3" s="75" t="s">
        <v>5</v>
      </c>
      <c r="AT3" s="76" t="s">
        <v>347</v>
      </c>
      <c r="AU3" s="76" t="s">
        <v>5</v>
      </c>
      <c r="AV3" s="77" t="s">
        <v>347</v>
      </c>
      <c r="AW3" s="77" t="s">
        <v>5</v>
      </c>
    </row>
    <row r="4" customFormat="false" ht="21.75" hidden="false" customHeight="true" outlineLevel="0" collapsed="false">
      <c r="A4" s="78" t="s">
        <v>312</v>
      </c>
      <c r="B4" s="79"/>
      <c r="C4" s="79"/>
      <c r="D4" s="79"/>
      <c r="E4" s="79"/>
      <c r="F4" s="79"/>
      <c r="G4" s="79"/>
      <c r="H4" s="79"/>
      <c r="I4" s="79"/>
      <c r="J4" s="71"/>
      <c r="K4" s="78" t="s">
        <v>312</v>
      </c>
      <c r="L4" s="79"/>
      <c r="M4" s="79"/>
      <c r="N4" s="79"/>
      <c r="O4" s="79"/>
      <c r="P4" s="79"/>
      <c r="Q4" s="79"/>
      <c r="R4" s="79"/>
      <c r="S4" s="79"/>
      <c r="T4" s="71"/>
      <c r="U4" s="78" t="s">
        <v>312</v>
      </c>
      <c r="V4" s="79"/>
      <c r="W4" s="79"/>
      <c r="X4" s="79"/>
      <c r="Y4" s="79"/>
      <c r="Z4" s="79"/>
      <c r="AA4" s="79"/>
      <c r="AB4" s="79"/>
      <c r="AC4" s="79"/>
      <c r="AD4" s="71"/>
      <c r="AE4" s="78" t="s">
        <v>312</v>
      </c>
      <c r="AF4" s="79"/>
      <c r="AG4" s="79"/>
      <c r="AH4" s="79"/>
      <c r="AI4" s="79"/>
      <c r="AJ4" s="79"/>
      <c r="AK4" s="79"/>
      <c r="AL4" s="79"/>
      <c r="AM4" s="79"/>
      <c r="AN4" s="71"/>
      <c r="AO4" s="78" t="s">
        <v>312</v>
      </c>
      <c r="AP4" s="79"/>
      <c r="AQ4" s="79"/>
      <c r="AR4" s="79"/>
      <c r="AS4" s="79"/>
      <c r="AT4" s="79"/>
      <c r="AU4" s="79"/>
      <c r="AV4" s="79"/>
      <c r="AW4" s="79"/>
    </row>
    <row r="5" customFormat="false" ht="21.75" hidden="false" customHeight="true" outlineLevel="0" collapsed="false">
      <c r="A5" s="80" t="s">
        <v>313</v>
      </c>
      <c r="B5" s="79"/>
      <c r="C5" s="79"/>
      <c r="D5" s="79"/>
      <c r="E5" s="79"/>
      <c r="F5" s="79"/>
      <c r="G5" s="79"/>
      <c r="H5" s="79"/>
      <c r="I5" s="79"/>
      <c r="J5" s="71"/>
      <c r="K5" s="80" t="s">
        <v>313</v>
      </c>
      <c r="L5" s="79"/>
      <c r="M5" s="79"/>
      <c r="N5" s="79"/>
      <c r="O5" s="79"/>
      <c r="P5" s="79"/>
      <c r="Q5" s="79"/>
      <c r="R5" s="79"/>
      <c r="S5" s="79"/>
      <c r="T5" s="71"/>
      <c r="U5" s="80" t="s">
        <v>313</v>
      </c>
      <c r="V5" s="79"/>
      <c r="W5" s="79"/>
      <c r="X5" s="79"/>
      <c r="Y5" s="79"/>
      <c r="Z5" s="79"/>
      <c r="AA5" s="79"/>
      <c r="AB5" s="79"/>
      <c r="AC5" s="79"/>
      <c r="AD5" s="71"/>
      <c r="AE5" s="80" t="s">
        <v>313</v>
      </c>
      <c r="AF5" s="79"/>
      <c r="AG5" s="79"/>
      <c r="AH5" s="79"/>
      <c r="AI5" s="79"/>
      <c r="AJ5" s="79"/>
      <c r="AK5" s="79"/>
      <c r="AL5" s="79"/>
      <c r="AM5" s="79"/>
      <c r="AN5" s="71"/>
      <c r="AO5" s="80" t="s">
        <v>313</v>
      </c>
      <c r="AP5" s="79"/>
      <c r="AQ5" s="79"/>
      <c r="AR5" s="79"/>
      <c r="AS5" s="79"/>
      <c r="AT5" s="79"/>
      <c r="AU5" s="79"/>
      <c r="AV5" s="79"/>
      <c r="AW5" s="79"/>
    </row>
    <row r="6" customFormat="false" ht="21.75" hidden="false" customHeight="true" outlineLevel="0" collapsed="false">
      <c r="A6" s="78" t="s">
        <v>13</v>
      </c>
      <c r="B6" s="81" t="s">
        <v>15</v>
      </c>
      <c r="C6" s="81"/>
      <c r="D6" s="81"/>
      <c r="E6" s="81"/>
      <c r="F6" s="81"/>
      <c r="G6" s="81"/>
      <c r="H6" s="81"/>
      <c r="I6" s="81"/>
      <c r="J6" s="71"/>
      <c r="K6" s="78" t="s">
        <v>13</v>
      </c>
      <c r="L6" s="82" t="s">
        <v>61</v>
      </c>
      <c r="M6" s="83" t="s">
        <v>44</v>
      </c>
      <c r="N6" s="84" t="s">
        <v>62</v>
      </c>
      <c r="O6" s="85" t="s">
        <v>63</v>
      </c>
      <c r="P6" s="86" t="s">
        <v>64</v>
      </c>
      <c r="Q6" s="87" t="s">
        <v>65</v>
      </c>
      <c r="R6" s="88" t="s">
        <v>66</v>
      </c>
      <c r="S6" s="89" t="s">
        <v>35</v>
      </c>
      <c r="T6" s="71"/>
      <c r="U6" s="78" t="s">
        <v>13</v>
      </c>
      <c r="V6" s="81" t="s">
        <v>79</v>
      </c>
      <c r="W6" s="81"/>
      <c r="X6" s="81"/>
      <c r="Y6" s="81"/>
      <c r="Z6" s="81"/>
      <c r="AA6" s="81"/>
      <c r="AB6" s="81"/>
      <c r="AC6" s="81"/>
      <c r="AD6" s="71"/>
      <c r="AE6" s="78" t="s">
        <v>13</v>
      </c>
      <c r="AF6" s="82" t="s">
        <v>87</v>
      </c>
      <c r="AG6" s="83" t="s">
        <v>23</v>
      </c>
      <c r="AH6" s="84" t="s">
        <v>88</v>
      </c>
      <c r="AI6" s="85" t="s">
        <v>46</v>
      </c>
      <c r="AJ6" s="86" t="s">
        <v>89</v>
      </c>
      <c r="AK6" s="87" t="s">
        <v>48</v>
      </c>
      <c r="AL6" s="88" t="s">
        <v>90</v>
      </c>
      <c r="AM6" s="89" t="s">
        <v>35</v>
      </c>
      <c r="AN6" s="71"/>
      <c r="AO6" s="78" t="s">
        <v>13</v>
      </c>
      <c r="AP6" s="82" t="s">
        <v>105</v>
      </c>
      <c r="AQ6" s="83" t="s">
        <v>23</v>
      </c>
      <c r="AR6" s="84" t="s">
        <v>106</v>
      </c>
      <c r="AS6" s="85" t="s">
        <v>46</v>
      </c>
      <c r="AT6" s="86" t="s">
        <v>107</v>
      </c>
      <c r="AU6" s="87" t="s">
        <v>48</v>
      </c>
      <c r="AV6" s="88" t="s">
        <v>108</v>
      </c>
      <c r="AW6" s="89" t="s">
        <v>35</v>
      </c>
    </row>
    <row r="7" customFormat="false" ht="21.75" hidden="false" customHeight="true" outlineLevel="0" collapsed="false">
      <c r="A7" s="80" t="s">
        <v>314</v>
      </c>
      <c r="B7" s="81"/>
      <c r="C7" s="81"/>
      <c r="D7" s="81"/>
      <c r="E7" s="81"/>
      <c r="F7" s="81"/>
      <c r="G7" s="81"/>
      <c r="H7" s="81"/>
      <c r="I7" s="81"/>
      <c r="J7" s="71"/>
      <c r="K7" s="80" t="s">
        <v>314</v>
      </c>
      <c r="L7" s="82"/>
      <c r="M7" s="83"/>
      <c r="N7" s="84"/>
      <c r="O7" s="85"/>
      <c r="P7" s="86"/>
      <c r="Q7" s="87"/>
      <c r="R7" s="88"/>
      <c r="S7" s="89"/>
      <c r="T7" s="71"/>
      <c r="U7" s="80" t="s">
        <v>314</v>
      </c>
      <c r="V7" s="81"/>
      <c r="W7" s="81"/>
      <c r="X7" s="81"/>
      <c r="Y7" s="81"/>
      <c r="Z7" s="81"/>
      <c r="AA7" s="81"/>
      <c r="AB7" s="81"/>
      <c r="AC7" s="81"/>
      <c r="AD7" s="71"/>
      <c r="AE7" s="80" t="s">
        <v>314</v>
      </c>
      <c r="AF7" s="82"/>
      <c r="AG7" s="83"/>
      <c r="AH7" s="84"/>
      <c r="AI7" s="85"/>
      <c r="AJ7" s="86"/>
      <c r="AK7" s="87"/>
      <c r="AL7" s="88"/>
      <c r="AM7" s="89"/>
      <c r="AN7" s="71"/>
      <c r="AO7" s="80" t="s">
        <v>314</v>
      </c>
      <c r="AP7" s="82"/>
      <c r="AQ7" s="83"/>
      <c r="AR7" s="84"/>
      <c r="AS7" s="85"/>
      <c r="AT7" s="86"/>
      <c r="AU7" s="87"/>
      <c r="AV7" s="88"/>
      <c r="AW7" s="89"/>
    </row>
    <row r="8" customFormat="false" ht="21.75" hidden="false" customHeight="true" outlineLevel="0" collapsed="false">
      <c r="A8" s="78" t="s">
        <v>14</v>
      </c>
      <c r="B8" s="79"/>
      <c r="C8" s="79"/>
      <c r="D8" s="79"/>
      <c r="E8" s="79"/>
      <c r="F8" s="79"/>
      <c r="G8" s="79"/>
      <c r="H8" s="79"/>
      <c r="I8" s="79"/>
      <c r="J8" s="71"/>
      <c r="K8" s="78" t="s">
        <v>14</v>
      </c>
      <c r="L8" s="82"/>
      <c r="M8" s="83"/>
      <c r="N8" s="84"/>
      <c r="O8" s="85"/>
      <c r="P8" s="86"/>
      <c r="Q8" s="87"/>
      <c r="R8" s="88"/>
      <c r="S8" s="89"/>
      <c r="T8" s="71"/>
      <c r="U8" s="78" t="s">
        <v>14</v>
      </c>
      <c r="V8" s="90" t="s">
        <v>68</v>
      </c>
      <c r="W8" s="90"/>
      <c r="X8" s="90"/>
      <c r="Y8" s="90"/>
      <c r="Z8" s="90"/>
      <c r="AA8" s="90"/>
      <c r="AB8" s="90"/>
      <c r="AC8" s="90"/>
      <c r="AD8" s="71"/>
      <c r="AE8" s="78" t="s">
        <v>14</v>
      </c>
      <c r="AF8" s="82"/>
      <c r="AG8" s="83"/>
      <c r="AH8" s="84"/>
      <c r="AI8" s="85"/>
      <c r="AJ8" s="86"/>
      <c r="AK8" s="87"/>
      <c r="AL8" s="88"/>
      <c r="AM8" s="89"/>
      <c r="AN8" s="71"/>
      <c r="AO8" s="78" t="s">
        <v>14</v>
      </c>
      <c r="AP8" s="82"/>
      <c r="AQ8" s="83"/>
      <c r="AR8" s="84"/>
      <c r="AS8" s="85"/>
      <c r="AT8" s="86"/>
      <c r="AU8" s="87"/>
      <c r="AV8" s="88"/>
      <c r="AW8" s="89"/>
    </row>
    <row r="9" customFormat="false" ht="21.75" hidden="false" customHeight="true" outlineLevel="0" collapsed="false">
      <c r="A9" s="80" t="s">
        <v>20</v>
      </c>
      <c r="B9" s="82" t="s">
        <v>22</v>
      </c>
      <c r="C9" s="83" t="s">
        <v>23</v>
      </c>
      <c r="D9" s="84" t="s">
        <v>26</v>
      </c>
      <c r="E9" s="85" t="s">
        <v>27</v>
      </c>
      <c r="F9" s="86" t="s">
        <v>30</v>
      </c>
      <c r="G9" s="87" t="s">
        <v>31</v>
      </c>
      <c r="H9" s="88" t="s">
        <v>34</v>
      </c>
      <c r="I9" s="89" t="s">
        <v>35</v>
      </c>
      <c r="J9" s="71"/>
      <c r="K9" s="80" t="s">
        <v>20</v>
      </c>
      <c r="L9" s="90" t="s">
        <v>68</v>
      </c>
      <c r="M9" s="90"/>
      <c r="N9" s="90"/>
      <c r="O9" s="90"/>
      <c r="P9" s="90"/>
      <c r="Q9" s="90"/>
      <c r="R9" s="90"/>
      <c r="S9" s="90"/>
      <c r="T9" s="71"/>
      <c r="U9" s="80" t="s">
        <v>20</v>
      </c>
      <c r="V9" s="82" t="s">
        <v>80</v>
      </c>
      <c r="W9" s="83" t="s">
        <v>44</v>
      </c>
      <c r="X9" s="84" t="s">
        <v>81</v>
      </c>
      <c r="Y9" s="85" t="s">
        <v>57</v>
      </c>
      <c r="Z9" s="86" t="s">
        <v>82</v>
      </c>
      <c r="AA9" s="87" t="s">
        <v>31</v>
      </c>
      <c r="AB9" s="88" t="s">
        <v>83</v>
      </c>
      <c r="AC9" s="89" t="s">
        <v>63</v>
      </c>
      <c r="AD9" s="71"/>
      <c r="AE9" s="80" t="s">
        <v>20</v>
      </c>
      <c r="AF9" s="90" t="s">
        <v>68</v>
      </c>
      <c r="AG9" s="90"/>
      <c r="AH9" s="90"/>
      <c r="AI9" s="90"/>
      <c r="AJ9" s="90"/>
      <c r="AK9" s="90"/>
      <c r="AL9" s="90"/>
      <c r="AM9" s="90"/>
      <c r="AN9" s="71"/>
      <c r="AO9" s="80" t="s">
        <v>20</v>
      </c>
      <c r="AP9" s="90" t="s">
        <v>68</v>
      </c>
      <c r="AQ9" s="90"/>
      <c r="AR9" s="90"/>
      <c r="AS9" s="90"/>
      <c r="AT9" s="90"/>
      <c r="AU9" s="90"/>
      <c r="AV9" s="90"/>
      <c r="AW9" s="90"/>
    </row>
    <row r="10" customFormat="false" ht="21.75" hidden="false" customHeight="true" outlineLevel="0" collapsed="false">
      <c r="A10" s="78" t="s">
        <v>67</v>
      </c>
      <c r="B10" s="82"/>
      <c r="C10" s="83"/>
      <c r="D10" s="84"/>
      <c r="E10" s="85"/>
      <c r="F10" s="86"/>
      <c r="G10" s="87"/>
      <c r="H10" s="88"/>
      <c r="I10" s="89"/>
      <c r="J10" s="71"/>
      <c r="K10" s="78" t="s">
        <v>67</v>
      </c>
      <c r="L10" s="81" t="s">
        <v>69</v>
      </c>
      <c r="M10" s="81"/>
      <c r="N10" s="81"/>
      <c r="O10" s="81"/>
      <c r="P10" s="81"/>
      <c r="Q10" s="81"/>
      <c r="R10" s="81"/>
      <c r="S10" s="81"/>
      <c r="T10" s="71"/>
      <c r="U10" s="78" t="s">
        <v>67</v>
      </c>
      <c r="V10" s="82"/>
      <c r="W10" s="83"/>
      <c r="X10" s="84"/>
      <c r="Y10" s="85"/>
      <c r="Z10" s="86"/>
      <c r="AA10" s="87"/>
      <c r="AB10" s="88"/>
      <c r="AC10" s="89"/>
      <c r="AD10" s="71"/>
      <c r="AE10" s="78" t="s">
        <v>67</v>
      </c>
      <c r="AF10" s="82" t="s">
        <v>92</v>
      </c>
      <c r="AG10" s="83" t="s">
        <v>55</v>
      </c>
      <c r="AH10" s="84" t="s">
        <v>93</v>
      </c>
      <c r="AI10" s="85" t="s">
        <v>27</v>
      </c>
      <c r="AJ10" s="86" t="s">
        <v>94</v>
      </c>
      <c r="AK10" s="87" t="s">
        <v>65</v>
      </c>
      <c r="AL10" s="88" t="s">
        <v>95</v>
      </c>
      <c r="AM10" s="89" t="s">
        <v>50</v>
      </c>
      <c r="AN10" s="71"/>
      <c r="AO10" s="78" t="s">
        <v>67</v>
      </c>
      <c r="AP10" s="81" t="s">
        <v>109</v>
      </c>
      <c r="AQ10" s="81"/>
      <c r="AR10" s="81"/>
      <c r="AS10" s="81"/>
      <c r="AT10" s="81"/>
      <c r="AU10" s="81"/>
      <c r="AV10" s="81"/>
      <c r="AW10" s="81"/>
    </row>
    <row r="11" customFormat="false" ht="21.75" hidden="false" customHeight="true" outlineLevel="0" collapsed="false">
      <c r="A11" s="80" t="s">
        <v>315</v>
      </c>
      <c r="B11" s="82"/>
      <c r="C11" s="83"/>
      <c r="D11" s="84"/>
      <c r="E11" s="85"/>
      <c r="F11" s="86"/>
      <c r="G11" s="87"/>
      <c r="H11" s="88"/>
      <c r="I11" s="89"/>
      <c r="J11" s="71"/>
      <c r="K11" s="80" t="s">
        <v>315</v>
      </c>
      <c r="L11" s="81"/>
      <c r="M11" s="81"/>
      <c r="N11" s="81"/>
      <c r="O11" s="81"/>
      <c r="P11" s="81"/>
      <c r="Q11" s="81"/>
      <c r="R11" s="81"/>
      <c r="S11" s="81"/>
      <c r="T11" s="71"/>
      <c r="U11" s="80" t="s">
        <v>315</v>
      </c>
      <c r="V11" s="82"/>
      <c r="W11" s="83"/>
      <c r="X11" s="84"/>
      <c r="Y11" s="85"/>
      <c r="Z11" s="86"/>
      <c r="AA11" s="87"/>
      <c r="AB11" s="88"/>
      <c r="AC11" s="89"/>
      <c r="AD11" s="71"/>
      <c r="AE11" s="80" t="s">
        <v>315</v>
      </c>
      <c r="AF11" s="82"/>
      <c r="AG11" s="83"/>
      <c r="AH11" s="84"/>
      <c r="AI11" s="85"/>
      <c r="AJ11" s="86"/>
      <c r="AK11" s="87"/>
      <c r="AL11" s="88"/>
      <c r="AM11" s="89"/>
      <c r="AN11" s="71"/>
      <c r="AO11" s="80" t="s">
        <v>315</v>
      </c>
      <c r="AP11" s="81"/>
      <c r="AQ11" s="81"/>
      <c r="AR11" s="81"/>
      <c r="AS11" s="81"/>
      <c r="AT11" s="81"/>
      <c r="AU11" s="81"/>
      <c r="AV11" s="81"/>
      <c r="AW11" s="81"/>
    </row>
    <row r="12" customFormat="false" ht="21.75" hidden="false" customHeight="true" outlineLevel="0" collapsed="false">
      <c r="A12" s="78" t="s">
        <v>21</v>
      </c>
      <c r="B12" s="90" t="s">
        <v>39</v>
      </c>
      <c r="C12" s="90"/>
      <c r="D12" s="90"/>
      <c r="E12" s="90"/>
      <c r="F12" s="90"/>
      <c r="G12" s="90"/>
      <c r="H12" s="90"/>
      <c r="I12" s="90"/>
      <c r="J12" s="71"/>
      <c r="K12" s="78" t="s">
        <v>21</v>
      </c>
      <c r="L12" s="90" t="s">
        <v>39</v>
      </c>
      <c r="M12" s="90"/>
      <c r="N12" s="90"/>
      <c r="O12" s="90"/>
      <c r="P12" s="90"/>
      <c r="Q12" s="90"/>
      <c r="R12" s="90"/>
      <c r="S12" s="90"/>
      <c r="T12" s="71"/>
      <c r="U12" s="78" t="s">
        <v>21</v>
      </c>
      <c r="V12" s="90" t="s">
        <v>39</v>
      </c>
      <c r="W12" s="90"/>
      <c r="X12" s="90"/>
      <c r="Y12" s="90"/>
      <c r="Z12" s="90"/>
      <c r="AA12" s="90"/>
      <c r="AB12" s="90"/>
      <c r="AC12" s="90"/>
      <c r="AD12" s="71"/>
      <c r="AE12" s="78" t="s">
        <v>21</v>
      </c>
      <c r="AF12" s="82"/>
      <c r="AG12" s="83"/>
      <c r="AH12" s="84"/>
      <c r="AI12" s="85"/>
      <c r="AJ12" s="86"/>
      <c r="AK12" s="87"/>
      <c r="AL12" s="88"/>
      <c r="AM12" s="89"/>
      <c r="AN12" s="71"/>
      <c r="AO12" s="78" t="s">
        <v>21</v>
      </c>
      <c r="AP12" s="90" t="s">
        <v>111</v>
      </c>
      <c r="AQ12" s="90"/>
      <c r="AR12" s="90"/>
      <c r="AS12" s="90"/>
      <c r="AT12" s="90"/>
      <c r="AU12" s="90"/>
      <c r="AV12" s="90"/>
      <c r="AW12" s="90"/>
    </row>
    <row r="13" customFormat="false" ht="21.75" hidden="false" customHeight="true" outlineLevel="0" collapsed="false">
      <c r="A13" s="80" t="s">
        <v>91</v>
      </c>
      <c r="B13" s="90"/>
      <c r="C13" s="90"/>
      <c r="D13" s="90"/>
      <c r="E13" s="90"/>
      <c r="F13" s="90"/>
      <c r="G13" s="90"/>
      <c r="H13" s="90"/>
      <c r="I13" s="90"/>
      <c r="J13" s="71"/>
      <c r="K13" s="80" t="s">
        <v>91</v>
      </c>
      <c r="L13" s="90"/>
      <c r="M13" s="90"/>
      <c r="N13" s="90"/>
      <c r="O13" s="90"/>
      <c r="P13" s="90"/>
      <c r="Q13" s="90"/>
      <c r="R13" s="90"/>
      <c r="S13" s="90"/>
      <c r="T13" s="71"/>
      <c r="U13" s="80" t="s">
        <v>91</v>
      </c>
      <c r="V13" s="90"/>
      <c r="W13" s="90"/>
      <c r="X13" s="90"/>
      <c r="Y13" s="90"/>
      <c r="Z13" s="90"/>
      <c r="AA13" s="90"/>
      <c r="AB13" s="90"/>
      <c r="AC13" s="90"/>
      <c r="AD13" s="71"/>
      <c r="AE13" s="80" t="s">
        <v>91</v>
      </c>
      <c r="AF13" s="90" t="s">
        <v>39</v>
      </c>
      <c r="AG13" s="90"/>
      <c r="AH13" s="90"/>
      <c r="AI13" s="90"/>
      <c r="AJ13" s="90"/>
      <c r="AK13" s="90"/>
      <c r="AL13" s="90"/>
      <c r="AM13" s="90"/>
      <c r="AN13" s="71"/>
      <c r="AO13" s="80" t="s">
        <v>91</v>
      </c>
      <c r="AP13" s="90"/>
      <c r="AQ13" s="90"/>
      <c r="AR13" s="90"/>
      <c r="AS13" s="90"/>
      <c r="AT13" s="90"/>
      <c r="AU13" s="90"/>
      <c r="AV13" s="90"/>
      <c r="AW13" s="90"/>
    </row>
    <row r="14" customFormat="false" ht="21.75" hidden="false" customHeight="true" outlineLevel="0" collapsed="false">
      <c r="A14" s="78" t="s">
        <v>38</v>
      </c>
      <c r="B14" s="82" t="s">
        <v>43</v>
      </c>
      <c r="C14" s="83" t="s">
        <v>44</v>
      </c>
      <c r="D14" s="84" t="s">
        <v>45</v>
      </c>
      <c r="E14" s="85" t="s">
        <v>46</v>
      </c>
      <c r="F14" s="86" t="s">
        <v>47</v>
      </c>
      <c r="G14" s="87" t="s">
        <v>48</v>
      </c>
      <c r="H14" s="88" t="s">
        <v>49</v>
      </c>
      <c r="I14" s="89" t="s">
        <v>50</v>
      </c>
      <c r="J14" s="71"/>
      <c r="K14" s="78" t="s">
        <v>38</v>
      </c>
      <c r="L14" s="82" t="s">
        <v>71</v>
      </c>
      <c r="M14" s="83" t="s">
        <v>23</v>
      </c>
      <c r="N14" s="84" t="s">
        <v>72</v>
      </c>
      <c r="O14" s="85" t="s">
        <v>27</v>
      </c>
      <c r="P14" s="86" t="s">
        <v>73</v>
      </c>
      <c r="Q14" s="87" t="s">
        <v>48</v>
      </c>
      <c r="R14" s="88" t="s">
        <v>74</v>
      </c>
      <c r="S14" s="89" t="s">
        <v>50</v>
      </c>
      <c r="T14" s="71"/>
      <c r="U14" s="78" t="s">
        <v>38</v>
      </c>
      <c r="V14" s="81" t="s">
        <v>84</v>
      </c>
      <c r="W14" s="81"/>
      <c r="X14" s="81"/>
      <c r="Y14" s="81"/>
      <c r="Z14" s="81"/>
      <c r="AA14" s="81"/>
      <c r="AB14" s="81"/>
      <c r="AC14" s="81"/>
      <c r="AD14" s="71"/>
      <c r="AE14" s="78" t="s">
        <v>38</v>
      </c>
      <c r="AF14" s="90"/>
      <c r="AG14" s="90"/>
      <c r="AH14" s="90"/>
      <c r="AI14" s="90"/>
      <c r="AJ14" s="90"/>
      <c r="AK14" s="90"/>
      <c r="AL14" s="90"/>
      <c r="AM14" s="90"/>
      <c r="AN14" s="71"/>
      <c r="AO14" s="78" t="s">
        <v>38</v>
      </c>
      <c r="AP14" s="81" t="s">
        <v>113</v>
      </c>
      <c r="AQ14" s="81"/>
      <c r="AR14" s="81"/>
      <c r="AS14" s="81"/>
      <c r="AT14" s="81"/>
      <c r="AU14" s="81"/>
      <c r="AV14" s="81"/>
      <c r="AW14" s="81"/>
    </row>
    <row r="15" customFormat="false" ht="21.75" hidden="false" customHeight="true" outlineLevel="0" collapsed="false">
      <c r="A15" s="80" t="s">
        <v>96</v>
      </c>
      <c r="B15" s="82"/>
      <c r="C15" s="83"/>
      <c r="D15" s="84"/>
      <c r="E15" s="85"/>
      <c r="F15" s="86"/>
      <c r="G15" s="87"/>
      <c r="H15" s="88"/>
      <c r="I15" s="89"/>
      <c r="J15" s="71"/>
      <c r="K15" s="80" t="s">
        <v>96</v>
      </c>
      <c r="L15" s="82"/>
      <c r="M15" s="83"/>
      <c r="N15" s="84"/>
      <c r="O15" s="85"/>
      <c r="P15" s="86"/>
      <c r="Q15" s="87"/>
      <c r="R15" s="88"/>
      <c r="S15" s="89"/>
      <c r="T15" s="71"/>
      <c r="U15" s="80" t="s">
        <v>96</v>
      </c>
      <c r="V15" s="81"/>
      <c r="W15" s="81"/>
      <c r="X15" s="81"/>
      <c r="Y15" s="81"/>
      <c r="Z15" s="81"/>
      <c r="AA15" s="81"/>
      <c r="AB15" s="81"/>
      <c r="AC15" s="81"/>
      <c r="AD15" s="71"/>
      <c r="AE15" s="80" t="s">
        <v>96</v>
      </c>
      <c r="AF15" s="82" t="s">
        <v>97</v>
      </c>
      <c r="AG15" s="83" t="s">
        <v>44</v>
      </c>
      <c r="AH15" s="84" t="s">
        <v>98</v>
      </c>
      <c r="AI15" s="85" t="s">
        <v>63</v>
      </c>
      <c r="AJ15" s="86" t="s">
        <v>99</v>
      </c>
      <c r="AK15" s="87" t="s">
        <v>31</v>
      </c>
      <c r="AL15" s="88" t="s">
        <v>100</v>
      </c>
      <c r="AM15" s="89" t="s">
        <v>60</v>
      </c>
      <c r="AN15" s="71"/>
      <c r="AO15" s="80" t="s">
        <v>96</v>
      </c>
      <c r="AP15" s="81"/>
      <c r="AQ15" s="81"/>
      <c r="AR15" s="81"/>
      <c r="AS15" s="81"/>
      <c r="AT15" s="81"/>
      <c r="AU15" s="81"/>
      <c r="AV15" s="81"/>
      <c r="AW15" s="81"/>
    </row>
    <row r="16" customFormat="false" ht="21.75" hidden="false" customHeight="true" outlineLevel="0" collapsed="false">
      <c r="A16" s="78" t="s">
        <v>112</v>
      </c>
      <c r="B16" s="82"/>
      <c r="C16" s="83"/>
      <c r="D16" s="84"/>
      <c r="E16" s="85"/>
      <c r="F16" s="86"/>
      <c r="G16" s="87"/>
      <c r="H16" s="88"/>
      <c r="I16" s="89"/>
      <c r="J16" s="71"/>
      <c r="K16" s="78" t="s">
        <v>112</v>
      </c>
      <c r="L16" s="82"/>
      <c r="M16" s="83"/>
      <c r="N16" s="84"/>
      <c r="O16" s="85"/>
      <c r="P16" s="86"/>
      <c r="Q16" s="87"/>
      <c r="R16" s="88"/>
      <c r="S16" s="89"/>
      <c r="T16" s="71"/>
      <c r="U16" s="78" t="s">
        <v>112</v>
      </c>
      <c r="V16" s="81"/>
      <c r="W16" s="81"/>
      <c r="X16" s="81"/>
      <c r="Y16" s="81"/>
      <c r="Z16" s="81"/>
      <c r="AA16" s="81"/>
      <c r="AB16" s="81"/>
      <c r="AC16" s="81"/>
      <c r="AD16" s="71"/>
      <c r="AE16" s="78" t="s">
        <v>112</v>
      </c>
      <c r="AF16" s="82"/>
      <c r="AG16" s="83"/>
      <c r="AH16" s="84"/>
      <c r="AI16" s="85"/>
      <c r="AJ16" s="86"/>
      <c r="AK16" s="87"/>
      <c r="AL16" s="88"/>
      <c r="AM16" s="89"/>
      <c r="AN16" s="71"/>
      <c r="AO16" s="78" t="s">
        <v>112</v>
      </c>
      <c r="AP16" s="79"/>
      <c r="AQ16" s="79"/>
      <c r="AR16" s="79"/>
      <c r="AS16" s="79"/>
      <c r="AT16" s="79"/>
      <c r="AU16" s="79"/>
      <c r="AV16" s="79"/>
      <c r="AW16" s="79"/>
    </row>
    <row r="17" customFormat="false" ht="21.75" hidden="false" customHeight="true" outlineLevel="0" collapsed="false">
      <c r="A17" s="80" t="s">
        <v>42</v>
      </c>
      <c r="B17" s="90" t="s">
        <v>52</v>
      </c>
      <c r="C17" s="90"/>
      <c r="D17" s="90"/>
      <c r="E17" s="90"/>
      <c r="F17" s="90"/>
      <c r="G17" s="90"/>
      <c r="H17" s="90"/>
      <c r="I17" s="90"/>
      <c r="J17" s="71"/>
      <c r="K17" s="80" t="s">
        <v>42</v>
      </c>
      <c r="L17" s="90" t="s">
        <v>52</v>
      </c>
      <c r="M17" s="90"/>
      <c r="N17" s="90"/>
      <c r="O17" s="90"/>
      <c r="P17" s="90"/>
      <c r="Q17" s="90"/>
      <c r="R17" s="90"/>
      <c r="S17" s="90"/>
      <c r="T17" s="71"/>
      <c r="U17" s="80" t="s">
        <v>42</v>
      </c>
      <c r="V17" s="81"/>
      <c r="W17" s="81"/>
      <c r="X17" s="81"/>
      <c r="Y17" s="81"/>
      <c r="Z17" s="81"/>
      <c r="AA17" s="81"/>
      <c r="AB17" s="81"/>
      <c r="AC17" s="81"/>
      <c r="AD17" s="71"/>
      <c r="AE17" s="80" t="s">
        <v>42</v>
      </c>
      <c r="AF17" s="82"/>
      <c r="AG17" s="83"/>
      <c r="AH17" s="84"/>
      <c r="AI17" s="85"/>
      <c r="AJ17" s="86"/>
      <c r="AK17" s="87"/>
      <c r="AL17" s="88"/>
      <c r="AM17" s="89"/>
      <c r="AN17" s="71"/>
      <c r="AO17" s="80" t="s">
        <v>42</v>
      </c>
      <c r="AP17" s="79"/>
      <c r="AQ17" s="79"/>
      <c r="AR17" s="79"/>
      <c r="AS17" s="79"/>
      <c r="AT17" s="79"/>
      <c r="AU17" s="79"/>
      <c r="AV17" s="79"/>
      <c r="AW17" s="79"/>
    </row>
    <row r="18" customFormat="false" ht="21.75" hidden="false" customHeight="true" outlineLevel="0" collapsed="false">
      <c r="A18" s="78" t="s">
        <v>51</v>
      </c>
      <c r="B18" s="82" t="s">
        <v>54</v>
      </c>
      <c r="C18" s="83" t="s">
        <v>55</v>
      </c>
      <c r="D18" s="84" t="s">
        <v>56</v>
      </c>
      <c r="E18" s="85" t="s">
        <v>57</v>
      </c>
      <c r="F18" s="86" t="s">
        <v>58</v>
      </c>
      <c r="G18" s="87" t="s">
        <v>31</v>
      </c>
      <c r="H18" s="88" t="s">
        <v>59</v>
      </c>
      <c r="I18" s="89" t="s">
        <v>60</v>
      </c>
      <c r="J18" s="71"/>
      <c r="K18" s="78" t="s">
        <v>51</v>
      </c>
      <c r="L18" s="82" t="s">
        <v>75</v>
      </c>
      <c r="M18" s="83" t="s">
        <v>55</v>
      </c>
      <c r="N18" s="84" t="s">
        <v>76</v>
      </c>
      <c r="O18" s="85" t="s">
        <v>46</v>
      </c>
      <c r="P18" s="86" t="s">
        <v>77</v>
      </c>
      <c r="Q18" s="87" t="s">
        <v>65</v>
      </c>
      <c r="R18" s="88" t="s">
        <v>78</v>
      </c>
      <c r="S18" s="89" t="s">
        <v>60</v>
      </c>
      <c r="T18" s="71"/>
      <c r="U18" s="78" t="s">
        <v>51</v>
      </c>
      <c r="V18" s="81"/>
      <c r="W18" s="81"/>
      <c r="X18" s="81"/>
      <c r="Y18" s="81"/>
      <c r="Z18" s="81"/>
      <c r="AA18" s="81"/>
      <c r="AB18" s="81"/>
      <c r="AC18" s="81"/>
      <c r="AD18" s="71"/>
      <c r="AE18" s="78" t="s">
        <v>51</v>
      </c>
      <c r="AF18" s="90" t="s">
        <v>52</v>
      </c>
      <c r="AG18" s="90"/>
      <c r="AH18" s="90"/>
      <c r="AI18" s="90"/>
      <c r="AJ18" s="90"/>
      <c r="AK18" s="90"/>
      <c r="AL18" s="90"/>
      <c r="AM18" s="90"/>
      <c r="AN18" s="71"/>
      <c r="AO18" s="78" t="s">
        <v>51</v>
      </c>
      <c r="AP18" s="79"/>
      <c r="AQ18" s="79"/>
      <c r="AR18" s="79"/>
      <c r="AS18" s="79"/>
      <c r="AT18" s="79"/>
      <c r="AU18" s="79"/>
      <c r="AV18" s="79"/>
      <c r="AW18" s="79"/>
    </row>
    <row r="19" customFormat="false" ht="21.75" hidden="false" customHeight="true" outlineLevel="0" collapsed="false">
      <c r="A19" s="80" t="s">
        <v>101</v>
      </c>
      <c r="B19" s="82"/>
      <c r="C19" s="83"/>
      <c r="D19" s="84"/>
      <c r="E19" s="85"/>
      <c r="F19" s="86"/>
      <c r="G19" s="87"/>
      <c r="H19" s="88"/>
      <c r="I19" s="89"/>
      <c r="J19" s="71"/>
      <c r="K19" s="80" t="s">
        <v>101</v>
      </c>
      <c r="L19" s="82"/>
      <c r="M19" s="83"/>
      <c r="N19" s="84"/>
      <c r="O19" s="85"/>
      <c r="P19" s="86"/>
      <c r="Q19" s="87"/>
      <c r="R19" s="88"/>
      <c r="S19" s="89"/>
      <c r="T19" s="71"/>
      <c r="U19" s="80" t="s">
        <v>101</v>
      </c>
      <c r="V19" s="81"/>
      <c r="W19" s="81"/>
      <c r="X19" s="81"/>
      <c r="Y19" s="81"/>
      <c r="Z19" s="81"/>
      <c r="AA19" s="81"/>
      <c r="AB19" s="81"/>
      <c r="AC19" s="81"/>
      <c r="AD19" s="71"/>
      <c r="AE19" s="80" t="s">
        <v>101</v>
      </c>
      <c r="AF19" s="81" t="s">
        <v>103</v>
      </c>
      <c r="AG19" s="81"/>
      <c r="AH19" s="81"/>
      <c r="AI19" s="81"/>
      <c r="AJ19" s="81"/>
      <c r="AK19" s="81"/>
      <c r="AL19" s="81"/>
      <c r="AM19" s="81"/>
      <c r="AN19" s="71"/>
      <c r="AO19" s="80" t="s">
        <v>101</v>
      </c>
      <c r="AP19" s="79"/>
      <c r="AQ19" s="79"/>
      <c r="AR19" s="79"/>
      <c r="AS19" s="79"/>
      <c r="AT19" s="79"/>
      <c r="AU19" s="79"/>
      <c r="AV19" s="79"/>
      <c r="AW19" s="79"/>
    </row>
    <row r="20" customFormat="false" ht="21.75" hidden="false" customHeight="true" outlineLevel="0" collapsed="false">
      <c r="A20" s="78" t="s">
        <v>316</v>
      </c>
      <c r="B20" s="82"/>
      <c r="C20" s="83"/>
      <c r="D20" s="84"/>
      <c r="E20" s="85"/>
      <c r="F20" s="86"/>
      <c r="G20" s="87"/>
      <c r="H20" s="88"/>
      <c r="I20" s="89"/>
      <c r="J20" s="71"/>
      <c r="K20" s="78" t="s">
        <v>316</v>
      </c>
      <c r="L20" s="82"/>
      <c r="M20" s="83"/>
      <c r="N20" s="84"/>
      <c r="O20" s="85"/>
      <c r="P20" s="86"/>
      <c r="Q20" s="87"/>
      <c r="R20" s="88"/>
      <c r="S20" s="89"/>
      <c r="T20" s="71"/>
      <c r="U20" s="78" t="s">
        <v>316</v>
      </c>
      <c r="V20" s="81"/>
      <c r="W20" s="81"/>
      <c r="X20" s="81"/>
      <c r="Y20" s="81"/>
      <c r="Z20" s="81"/>
      <c r="AA20" s="81"/>
      <c r="AB20" s="81"/>
      <c r="AC20" s="81"/>
      <c r="AD20" s="71"/>
      <c r="AE20" s="78" t="s">
        <v>316</v>
      </c>
      <c r="AF20" s="81"/>
      <c r="AG20" s="81"/>
      <c r="AH20" s="81"/>
      <c r="AI20" s="81"/>
      <c r="AJ20" s="81"/>
      <c r="AK20" s="81"/>
      <c r="AL20" s="81"/>
      <c r="AM20" s="81"/>
      <c r="AN20" s="71"/>
      <c r="AO20" s="78" t="s">
        <v>316</v>
      </c>
      <c r="AP20" s="79"/>
      <c r="AQ20" s="79"/>
      <c r="AR20" s="79"/>
      <c r="AS20" s="79"/>
      <c r="AT20" s="79"/>
      <c r="AU20" s="79"/>
      <c r="AV20" s="79"/>
      <c r="AW20" s="79"/>
    </row>
    <row r="21" customFormat="false" ht="21.75" hidden="false" customHeight="true" outlineLevel="0" collapsed="false">
      <c r="A21" s="80" t="s">
        <v>53</v>
      </c>
      <c r="B21" s="79"/>
      <c r="C21" s="79"/>
      <c r="D21" s="79"/>
      <c r="E21" s="79"/>
      <c r="F21" s="79"/>
      <c r="G21" s="79"/>
      <c r="H21" s="79"/>
      <c r="I21" s="79"/>
      <c r="J21" s="71"/>
      <c r="K21" s="80" t="s">
        <v>53</v>
      </c>
      <c r="L21" s="79"/>
      <c r="M21" s="79"/>
      <c r="N21" s="79"/>
      <c r="O21" s="79"/>
      <c r="P21" s="79"/>
      <c r="Q21" s="79"/>
      <c r="R21" s="79"/>
      <c r="S21" s="79"/>
      <c r="T21" s="71"/>
      <c r="U21" s="80" t="s">
        <v>53</v>
      </c>
      <c r="V21" s="79"/>
      <c r="W21" s="79"/>
      <c r="X21" s="79"/>
      <c r="Y21" s="79"/>
      <c r="Z21" s="79"/>
      <c r="AA21" s="79"/>
      <c r="AB21" s="79"/>
      <c r="AC21" s="79"/>
      <c r="AD21" s="71"/>
      <c r="AE21" s="80" t="s">
        <v>53</v>
      </c>
      <c r="AF21" s="81"/>
      <c r="AG21" s="81"/>
      <c r="AH21" s="81"/>
      <c r="AI21" s="81"/>
      <c r="AJ21" s="81"/>
      <c r="AK21" s="81"/>
      <c r="AL21" s="81"/>
      <c r="AM21" s="81"/>
      <c r="AN21" s="71"/>
      <c r="AO21" s="80" t="s">
        <v>53</v>
      </c>
      <c r="AP21" s="79"/>
      <c r="AQ21" s="79"/>
      <c r="AR21" s="79"/>
      <c r="AS21" s="79"/>
      <c r="AT21" s="79"/>
      <c r="AU21" s="79"/>
      <c r="AV21" s="79"/>
      <c r="AW21" s="79"/>
    </row>
    <row r="22" customFormat="false" ht="21.75" hidden="false" customHeight="true" outlineLevel="0" collapsed="false">
      <c r="A22" s="78" t="s">
        <v>102</v>
      </c>
      <c r="B22" s="79"/>
      <c r="C22" s="79"/>
      <c r="D22" s="79"/>
      <c r="E22" s="79"/>
      <c r="F22" s="79"/>
      <c r="G22" s="79"/>
      <c r="H22" s="79"/>
      <c r="I22" s="79"/>
      <c r="J22" s="71"/>
      <c r="K22" s="78" t="s">
        <v>102</v>
      </c>
      <c r="L22" s="79"/>
      <c r="M22" s="79"/>
      <c r="N22" s="79"/>
      <c r="O22" s="79"/>
      <c r="P22" s="79"/>
      <c r="Q22" s="79"/>
      <c r="R22" s="79"/>
      <c r="S22" s="79"/>
      <c r="T22" s="71"/>
      <c r="U22" s="78" t="s">
        <v>102</v>
      </c>
      <c r="V22" s="79"/>
      <c r="W22" s="79"/>
      <c r="X22" s="79"/>
      <c r="Y22" s="79"/>
      <c r="Z22" s="79"/>
      <c r="AA22" s="79"/>
      <c r="AB22" s="79"/>
      <c r="AC22" s="79"/>
      <c r="AD22" s="71"/>
      <c r="AE22" s="78" t="s">
        <v>102</v>
      </c>
      <c r="AF22" s="79"/>
      <c r="AG22" s="79"/>
      <c r="AH22" s="79"/>
      <c r="AI22" s="79"/>
      <c r="AJ22" s="79"/>
      <c r="AK22" s="79"/>
      <c r="AL22" s="79"/>
      <c r="AM22" s="79"/>
      <c r="AN22" s="71"/>
      <c r="AO22" s="78" t="s">
        <v>102</v>
      </c>
      <c r="AP22" s="79"/>
      <c r="AQ22" s="79"/>
      <c r="AR22" s="79"/>
      <c r="AS22" s="79"/>
      <c r="AT22" s="79"/>
      <c r="AU22" s="79"/>
      <c r="AV22" s="79"/>
      <c r="AW22" s="79"/>
    </row>
    <row r="23" customFormat="false" ht="21.75" hidden="false" customHeight="true" outlineLevel="0" collapsed="false">
      <c r="A23" s="80" t="s">
        <v>317</v>
      </c>
      <c r="B23" s="79"/>
      <c r="C23" s="79"/>
      <c r="D23" s="79"/>
      <c r="E23" s="79"/>
      <c r="F23" s="79"/>
      <c r="G23" s="79"/>
      <c r="H23" s="79"/>
      <c r="I23" s="79"/>
      <c r="J23" s="71"/>
      <c r="K23" s="80" t="s">
        <v>317</v>
      </c>
      <c r="L23" s="79"/>
      <c r="M23" s="79"/>
      <c r="N23" s="79"/>
      <c r="O23" s="79"/>
      <c r="P23" s="79"/>
      <c r="Q23" s="79"/>
      <c r="R23" s="79"/>
      <c r="S23" s="79"/>
      <c r="T23" s="71"/>
      <c r="U23" s="80" t="s">
        <v>317</v>
      </c>
      <c r="V23" s="79"/>
      <c r="W23" s="79"/>
      <c r="X23" s="79"/>
      <c r="Y23" s="79"/>
      <c r="Z23" s="79"/>
      <c r="AA23" s="79"/>
      <c r="AB23" s="79"/>
      <c r="AC23" s="79"/>
      <c r="AD23" s="71"/>
      <c r="AE23" s="80" t="s">
        <v>317</v>
      </c>
      <c r="AF23" s="79"/>
      <c r="AG23" s="79"/>
      <c r="AH23" s="79"/>
      <c r="AI23" s="79"/>
      <c r="AJ23" s="79"/>
      <c r="AK23" s="79"/>
      <c r="AL23" s="79"/>
      <c r="AM23" s="79"/>
      <c r="AN23" s="71"/>
      <c r="AO23" s="80" t="s">
        <v>317</v>
      </c>
      <c r="AP23" s="79"/>
      <c r="AQ23" s="79"/>
      <c r="AR23" s="79"/>
      <c r="AS23" s="79"/>
      <c r="AT23" s="79"/>
      <c r="AU23" s="79"/>
      <c r="AV23" s="79"/>
      <c r="AW23" s="79"/>
    </row>
  </sheetData>
  <mergeCells count="113">
    <mergeCell ref="A1:AW1"/>
    <mergeCell ref="A2:I2"/>
    <mergeCell ref="K2:S2"/>
    <mergeCell ref="U2:AC2"/>
    <mergeCell ref="AE2:AM2"/>
    <mergeCell ref="AO2:AW2"/>
    <mergeCell ref="B6:I7"/>
    <mergeCell ref="L6:L8"/>
    <mergeCell ref="M6:M8"/>
    <mergeCell ref="N6:N8"/>
    <mergeCell ref="O6:O8"/>
    <mergeCell ref="P6:P8"/>
    <mergeCell ref="Q6:Q8"/>
    <mergeCell ref="R6:R8"/>
    <mergeCell ref="S6:S8"/>
    <mergeCell ref="V6:AC7"/>
    <mergeCell ref="AF6:AF8"/>
    <mergeCell ref="AG6:AG8"/>
    <mergeCell ref="AH6:AH8"/>
    <mergeCell ref="AI6:AI8"/>
    <mergeCell ref="AJ6:AJ8"/>
    <mergeCell ref="AK6:AK8"/>
    <mergeCell ref="AL6:AL8"/>
    <mergeCell ref="AM6:AM8"/>
    <mergeCell ref="AP6:AP8"/>
    <mergeCell ref="AQ6:AQ8"/>
    <mergeCell ref="AR6:AR8"/>
    <mergeCell ref="AS6:AS8"/>
    <mergeCell ref="AT6:AT8"/>
    <mergeCell ref="AU6:AU8"/>
    <mergeCell ref="AV6:AV8"/>
    <mergeCell ref="AW6:AW8"/>
    <mergeCell ref="V8:AC8"/>
    <mergeCell ref="B9:B11"/>
    <mergeCell ref="C9:C11"/>
    <mergeCell ref="D9:D11"/>
    <mergeCell ref="E9:E11"/>
    <mergeCell ref="F9:F11"/>
    <mergeCell ref="G9:G11"/>
    <mergeCell ref="H9:H11"/>
    <mergeCell ref="I9:I11"/>
    <mergeCell ref="L9:S9"/>
    <mergeCell ref="V9:V11"/>
    <mergeCell ref="W9:W11"/>
    <mergeCell ref="X9:X11"/>
    <mergeCell ref="Y9:Y11"/>
    <mergeCell ref="Z9:Z11"/>
    <mergeCell ref="AA9:AA11"/>
    <mergeCell ref="AB9:AB11"/>
    <mergeCell ref="AC9:AC11"/>
    <mergeCell ref="AF9:AM9"/>
    <mergeCell ref="AP9:AW9"/>
    <mergeCell ref="L10:S11"/>
    <mergeCell ref="AF10:AF12"/>
    <mergeCell ref="AG10:AG12"/>
    <mergeCell ref="AH10:AH12"/>
    <mergeCell ref="AI10:AI12"/>
    <mergeCell ref="AJ10:AJ12"/>
    <mergeCell ref="AK10:AK12"/>
    <mergeCell ref="AL10:AL12"/>
    <mergeCell ref="AM10:AM12"/>
    <mergeCell ref="AP10:AW11"/>
    <mergeCell ref="B12:I13"/>
    <mergeCell ref="L12:S13"/>
    <mergeCell ref="V12:AC13"/>
    <mergeCell ref="AP12:AW13"/>
    <mergeCell ref="AF13:AM14"/>
    <mergeCell ref="B14:B16"/>
    <mergeCell ref="C14:C16"/>
    <mergeCell ref="D14:D16"/>
    <mergeCell ref="E14:E16"/>
    <mergeCell ref="F14:F16"/>
    <mergeCell ref="G14:G16"/>
    <mergeCell ref="H14:H16"/>
    <mergeCell ref="I14:I16"/>
    <mergeCell ref="L14:L16"/>
    <mergeCell ref="M14:M16"/>
    <mergeCell ref="N14:N16"/>
    <mergeCell ref="O14:O16"/>
    <mergeCell ref="P14:P16"/>
    <mergeCell ref="Q14:Q16"/>
    <mergeCell ref="R14:R16"/>
    <mergeCell ref="S14:S16"/>
    <mergeCell ref="V14:AC20"/>
    <mergeCell ref="AP14:AW15"/>
    <mergeCell ref="AF15:AF17"/>
    <mergeCell ref="AG15:AG17"/>
    <mergeCell ref="AH15:AH17"/>
    <mergeCell ref="AI15:AI17"/>
    <mergeCell ref="AJ15:AJ17"/>
    <mergeCell ref="AK15:AK17"/>
    <mergeCell ref="AL15:AL17"/>
    <mergeCell ref="AM15:AM17"/>
    <mergeCell ref="B17:I17"/>
    <mergeCell ref="L17:S17"/>
    <mergeCell ref="B18:B20"/>
    <mergeCell ref="C18:C20"/>
    <mergeCell ref="D18:D20"/>
    <mergeCell ref="E18:E20"/>
    <mergeCell ref="F18:F20"/>
    <mergeCell ref="G18:G20"/>
    <mergeCell ref="H18:H20"/>
    <mergeCell ref="I18:I20"/>
    <mergeCell ref="L18:L20"/>
    <mergeCell ref="M18:M20"/>
    <mergeCell ref="N18:N20"/>
    <mergeCell ref="O18:O20"/>
    <mergeCell ref="P18:P20"/>
    <mergeCell ref="Q18:Q20"/>
    <mergeCell ref="R18:R20"/>
    <mergeCell ref="S18:S20"/>
    <mergeCell ref="AF18:AM18"/>
    <mergeCell ref="AF19:AM21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0D9488"/>
    <pageSetUpPr fitToPage="false"/>
  </sheetPr>
  <dimension ref="A1:E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1" width="24"/>
    <col collapsed="false" customWidth="true" hidden="false" outlineLevel="0" max="2" min="2" style="1" width="20"/>
    <col collapsed="false" customWidth="true" hidden="false" outlineLevel="0" max="3" min="3" style="1" width="40"/>
    <col collapsed="false" customWidth="true" hidden="false" outlineLevel="0" max="5" min="4" style="1" width="16"/>
  </cols>
  <sheetData>
    <row r="1" customFormat="false" ht="15" hidden="false" customHeight="true" outlineLevel="0" collapsed="false">
      <c r="A1" s="91" t="s">
        <v>348</v>
      </c>
      <c r="B1" s="91" t="s">
        <v>349</v>
      </c>
      <c r="C1" s="91" t="s">
        <v>350</v>
      </c>
      <c r="D1" s="91" t="s">
        <v>351</v>
      </c>
      <c r="E1" s="91" t="s">
        <v>352</v>
      </c>
    </row>
    <row r="2" customFormat="false" ht="23.25" hidden="false" customHeight="true" outlineLevel="0" collapsed="false">
      <c r="A2" s="92" t="s">
        <v>44</v>
      </c>
      <c r="B2" s="92" t="s">
        <v>25</v>
      </c>
      <c r="C2" s="93" t="s">
        <v>353</v>
      </c>
      <c r="D2" s="93" t="s">
        <v>25</v>
      </c>
      <c r="E2" s="93" t="s">
        <v>354</v>
      </c>
    </row>
    <row r="3" customFormat="false" ht="23.25" hidden="false" customHeight="true" outlineLevel="0" collapsed="false">
      <c r="A3" s="94" t="s">
        <v>63</v>
      </c>
      <c r="B3" s="94" t="s">
        <v>355</v>
      </c>
      <c r="C3" s="95" t="s">
        <v>356</v>
      </c>
      <c r="D3" s="95" t="s">
        <v>355</v>
      </c>
      <c r="E3" s="95" t="s">
        <v>357</v>
      </c>
    </row>
    <row r="4" customFormat="false" ht="23.25" hidden="false" customHeight="true" outlineLevel="0" collapsed="false">
      <c r="A4" s="92" t="s">
        <v>48</v>
      </c>
      <c r="B4" s="92" t="s">
        <v>33</v>
      </c>
      <c r="C4" s="93" t="s">
        <v>358</v>
      </c>
      <c r="D4" s="93" t="s">
        <v>33</v>
      </c>
      <c r="E4" s="93" t="s">
        <v>359</v>
      </c>
    </row>
    <row r="5" customFormat="false" ht="23.25" hidden="false" customHeight="true" outlineLevel="0" collapsed="false">
      <c r="A5" s="94" t="s">
        <v>46</v>
      </c>
      <c r="B5" s="94" t="s">
        <v>29</v>
      </c>
      <c r="C5" s="95" t="s">
        <v>360</v>
      </c>
      <c r="D5" s="95" t="s">
        <v>29</v>
      </c>
      <c r="E5" s="95" t="s">
        <v>359</v>
      </c>
    </row>
    <row r="6" customFormat="false" ht="23.25" hidden="false" customHeight="true" outlineLevel="0" collapsed="false">
      <c r="A6" s="92" t="s">
        <v>16</v>
      </c>
      <c r="B6" s="92" t="s">
        <v>18</v>
      </c>
      <c r="C6" s="93" t="s">
        <v>361</v>
      </c>
      <c r="D6" s="93" t="s">
        <v>18</v>
      </c>
      <c r="E6" s="93" t="s">
        <v>362</v>
      </c>
    </row>
    <row r="7" customFormat="false" ht="23.25" hidden="false" customHeight="true" outlineLevel="0" collapsed="false">
      <c r="A7" s="94" t="s">
        <v>35</v>
      </c>
      <c r="B7" s="94" t="s">
        <v>37</v>
      </c>
      <c r="C7" s="95" t="s">
        <v>363</v>
      </c>
      <c r="D7" s="95" t="s">
        <v>37</v>
      </c>
      <c r="E7" s="95" t="s">
        <v>359</v>
      </c>
    </row>
    <row r="8" customFormat="false" ht="23.25" hidden="false" customHeight="true" outlineLevel="0" collapsed="false">
      <c r="A8" s="92" t="s">
        <v>31</v>
      </c>
      <c r="B8" s="92" t="s">
        <v>33</v>
      </c>
      <c r="C8" s="93" t="s">
        <v>364</v>
      </c>
      <c r="D8" s="93" t="s">
        <v>33</v>
      </c>
      <c r="E8" s="93" t="s">
        <v>365</v>
      </c>
    </row>
    <row r="9" customFormat="false" ht="23.25" hidden="false" customHeight="true" outlineLevel="0" collapsed="false">
      <c r="A9" s="94" t="s">
        <v>23</v>
      </c>
      <c r="B9" s="94" t="s">
        <v>25</v>
      </c>
      <c r="C9" s="95" t="s">
        <v>366</v>
      </c>
      <c r="D9" s="95" t="s">
        <v>25</v>
      </c>
      <c r="E9" s="95" t="s">
        <v>359</v>
      </c>
    </row>
    <row r="10" customFormat="false" ht="23.25" hidden="false" customHeight="true" outlineLevel="0" collapsed="false">
      <c r="A10" s="92" t="s">
        <v>50</v>
      </c>
      <c r="B10" s="92" t="s">
        <v>37</v>
      </c>
      <c r="C10" s="93" t="s">
        <v>367</v>
      </c>
      <c r="D10" s="93" t="s">
        <v>37</v>
      </c>
      <c r="E10" s="93" t="s">
        <v>368</v>
      </c>
    </row>
    <row r="11" customFormat="false" ht="23.25" hidden="false" customHeight="true" outlineLevel="0" collapsed="false">
      <c r="A11" s="94" t="s">
        <v>27</v>
      </c>
      <c r="B11" s="94" t="s">
        <v>29</v>
      </c>
      <c r="C11" s="95" t="s">
        <v>369</v>
      </c>
      <c r="D11" s="95" t="s">
        <v>29</v>
      </c>
      <c r="E11" s="95" t="s">
        <v>368</v>
      </c>
    </row>
    <row r="12" customFormat="false" ht="23.25" hidden="false" customHeight="true" outlineLevel="0" collapsed="false">
      <c r="A12" s="92" t="s">
        <v>60</v>
      </c>
      <c r="B12" s="92" t="s">
        <v>37</v>
      </c>
      <c r="C12" s="93" t="s">
        <v>370</v>
      </c>
      <c r="D12" s="93" t="s">
        <v>37</v>
      </c>
      <c r="E12" s="93" t="s">
        <v>368</v>
      </c>
    </row>
    <row r="13" customFormat="false" ht="23.25" hidden="false" customHeight="true" outlineLevel="0" collapsed="false">
      <c r="A13" s="94" t="s">
        <v>55</v>
      </c>
      <c r="B13" s="94" t="s">
        <v>25</v>
      </c>
      <c r="C13" s="95" t="s">
        <v>371</v>
      </c>
      <c r="D13" s="95" t="s">
        <v>25</v>
      </c>
      <c r="E13" s="95" t="s">
        <v>368</v>
      </c>
    </row>
    <row r="14" customFormat="false" ht="15" hidden="false" customHeight="true" outlineLevel="0" collapsed="false">
      <c r="A14" s="92" t="s">
        <v>57</v>
      </c>
      <c r="B14" s="92" t="s">
        <v>29</v>
      </c>
      <c r="C14" s="93" t="s">
        <v>372</v>
      </c>
      <c r="D14" s="93" t="s">
        <v>29</v>
      </c>
      <c r="E14" s="93" t="s">
        <v>373</v>
      </c>
    </row>
    <row r="15" customFormat="false" ht="23.25" hidden="false" customHeight="true" outlineLevel="0" collapsed="false">
      <c r="A15" s="94" t="s">
        <v>65</v>
      </c>
      <c r="B15" s="94" t="s">
        <v>33</v>
      </c>
      <c r="C15" s="95" t="s">
        <v>374</v>
      </c>
      <c r="D15" s="95" t="s">
        <v>33</v>
      </c>
      <c r="E15" s="95" t="s">
        <v>375</v>
      </c>
    </row>
  </sheetData>
  <autoFilter ref="A1:E15"/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75569"/>
    <pageSetUpPr fitToPage="false"/>
  </sheetPr>
  <dimension ref="A1:A4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1" width="100"/>
  </cols>
  <sheetData>
    <row r="1" customFormat="false" ht="27.75" hidden="false" customHeight="true" outlineLevel="0" collapsed="false">
      <c r="A1" s="96" t="s">
        <v>376</v>
      </c>
    </row>
    <row r="2" customFormat="false" ht="19.5" hidden="false" customHeight="true" outlineLevel="0" collapsed="false">
      <c r="A2" s="97"/>
    </row>
    <row r="3" customFormat="false" ht="27.75" hidden="false" customHeight="true" outlineLevel="0" collapsed="false">
      <c r="A3" s="98" t="s">
        <v>377</v>
      </c>
    </row>
    <row r="4" customFormat="false" ht="36" hidden="false" customHeight="true" outlineLevel="0" collapsed="false">
      <c r="A4" s="99" t="s">
        <v>378</v>
      </c>
    </row>
    <row r="5" customFormat="false" ht="36" hidden="false" customHeight="true" outlineLevel="0" collapsed="false">
      <c r="A5" s="99" t="s">
        <v>379</v>
      </c>
    </row>
    <row r="6" customFormat="false" ht="19.5" hidden="false" customHeight="true" outlineLevel="0" collapsed="false">
      <c r="A6" s="97"/>
    </row>
    <row r="7" customFormat="false" ht="27.75" hidden="false" customHeight="true" outlineLevel="0" collapsed="false">
      <c r="A7" s="100" t="s">
        <v>380</v>
      </c>
    </row>
    <row r="8" customFormat="false" ht="19.5" hidden="false" customHeight="true" outlineLevel="0" collapsed="false">
      <c r="A8" s="101" t="s">
        <v>381</v>
      </c>
    </row>
    <row r="9" customFormat="false" ht="48" hidden="false" customHeight="true" outlineLevel="0" collapsed="false">
      <c r="A9" s="99" t="s">
        <v>382</v>
      </c>
    </row>
    <row r="10" customFormat="false" ht="36" hidden="false" customHeight="true" outlineLevel="0" collapsed="false">
      <c r="A10" s="102" t="s">
        <v>383</v>
      </c>
    </row>
    <row r="11" customFormat="false" ht="19.5" hidden="false" customHeight="true" outlineLevel="0" collapsed="false">
      <c r="A11" s="97"/>
    </row>
    <row r="12" customFormat="false" ht="27.75" hidden="false" customHeight="true" outlineLevel="0" collapsed="false">
      <c r="A12" s="103" t="s">
        <v>384</v>
      </c>
    </row>
    <row r="13" customFormat="false" ht="19.5" hidden="false" customHeight="true" outlineLevel="0" collapsed="false">
      <c r="A13" s="97" t="s">
        <v>385</v>
      </c>
    </row>
    <row r="14" customFormat="false" ht="19.5" hidden="false" customHeight="true" outlineLevel="0" collapsed="false">
      <c r="A14" s="97" t="s">
        <v>386</v>
      </c>
    </row>
    <row r="15" customFormat="false" ht="19.5" hidden="false" customHeight="true" outlineLevel="0" collapsed="false">
      <c r="A15" s="97" t="s">
        <v>387</v>
      </c>
    </row>
    <row r="16" customFormat="false" ht="36" hidden="false" customHeight="true" outlineLevel="0" collapsed="false">
      <c r="A16" s="97" t="s">
        <v>388</v>
      </c>
    </row>
    <row r="17" customFormat="false" ht="19.5" hidden="false" customHeight="true" outlineLevel="0" collapsed="false">
      <c r="A17" s="97" t="s">
        <v>389</v>
      </c>
    </row>
    <row r="18" customFormat="false" ht="36" hidden="false" customHeight="true" outlineLevel="0" collapsed="false">
      <c r="A18" s="97" t="s">
        <v>390</v>
      </c>
    </row>
    <row r="19" customFormat="false" ht="19.5" hidden="false" customHeight="true" outlineLevel="0" collapsed="false">
      <c r="A19" s="97"/>
    </row>
    <row r="20" customFormat="false" ht="27.75" hidden="false" customHeight="true" outlineLevel="0" collapsed="false">
      <c r="A20" s="104" t="s">
        <v>391</v>
      </c>
    </row>
    <row r="21" customFormat="false" ht="48" hidden="false" customHeight="true" outlineLevel="0" collapsed="false">
      <c r="A21" s="97" t="s">
        <v>392</v>
      </c>
    </row>
    <row r="22" customFormat="false" ht="36" hidden="false" customHeight="true" outlineLevel="0" collapsed="false">
      <c r="A22" s="97" t="s">
        <v>393</v>
      </c>
    </row>
    <row r="23" customFormat="false" ht="36" hidden="false" customHeight="true" outlineLevel="0" collapsed="false">
      <c r="A23" s="97" t="s">
        <v>394</v>
      </c>
    </row>
    <row r="24" customFormat="false" ht="19.5" hidden="false" customHeight="true" outlineLevel="0" collapsed="false">
      <c r="A24" s="97"/>
    </row>
    <row r="25" customFormat="false" ht="27.75" hidden="false" customHeight="true" outlineLevel="0" collapsed="false">
      <c r="A25" s="103" t="s">
        <v>395</v>
      </c>
    </row>
    <row r="26" customFormat="false" ht="36" hidden="false" customHeight="true" outlineLevel="0" collapsed="false">
      <c r="A26" s="97" t="s">
        <v>396</v>
      </c>
    </row>
    <row r="27" customFormat="false" ht="19.5" hidden="false" customHeight="true" outlineLevel="0" collapsed="false">
      <c r="A27" s="97" t="s">
        <v>397</v>
      </c>
    </row>
    <row r="28" customFormat="false" ht="36" hidden="false" customHeight="true" outlineLevel="0" collapsed="false">
      <c r="A28" s="97" t="s">
        <v>398</v>
      </c>
    </row>
    <row r="29" customFormat="false" ht="19.5" hidden="false" customHeight="true" outlineLevel="0" collapsed="false">
      <c r="A29" s="97" t="s">
        <v>399</v>
      </c>
    </row>
    <row r="30" customFormat="false" ht="19.5" hidden="false" customHeight="true" outlineLevel="0" collapsed="false">
      <c r="A30" s="97" t="s">
        <v>400</v>
      </c>
    </row>
    <row r="31" customFormat="false" ht="36" hidden="false" customHeight="true" outlineLevel="0" collapsed="false">
      <c r="A31" s="105" t="s">
        <v>401</v>
      </c>
    </row>
    <row r="32" customFormat="false" ht="19.5" hidden="false" customHeight="true" outlineLevel="0" collapsed="false">
      <c r="A32" s="97"/>
    </row>
    <row r="33" customFormat="false" ht="27.75" hidden="false" customHeight="true" outlineLevel="0" collapsed="false">
      <c r="A33" s="103" t="s">
        <v>402</v>
      </c>
    </row>
    <row r="34" customFormat="false" ht="19.5" hidden="false" customHeight="true" outlineLevel="0" collapsed="false">
      <c r="A34" s="97" t="s">
        <v>403</v>
      </c>
    </row>
    <row r="35" customFormat="false" ht="19.5" hidden="false" customHeight="true" outlineLevel="0" collapsed="false">
      <c r="A35" s="97" t="s">
        <v>404</v>
      </c>
    </row>
    <row r="36" customFormat="false" ht="19.5" hidden="false" customHeight="true" outlineLevel="0" collapsed="false">
      <c r="A36" s="97" t="s">
        <v>405</v>
      </c>
    </row>
    <row r="37" customFormat="false" ht="19.5" hidden="false" customHeight="true" outlineLevel="0" collapsed="false">
      <c r="A37" s="97" t="s">
        <v>406</v>
      </c>
    </row>
    <row r="38" customFormat="false" ht="19.5" hidden="false" customHeight="true" outlineLevel="0" collapsed="false">
      <c r="A38" s="97"/>
    </row>
    <row r="39" customFormat="false" ht="27.75" hidden="false" customHeight="true" outlineLevel="0" collapsed="false">
      <c r="A39" s="104" t="s">
        <v>407</v>
      </c>
    </row>
    <row r="40" customFormat="false" ht="19.5" hidden="false" customHeight="true" outlineLevel="0" collapsed="false">
      <c r="A40" s="97" t="s">
        <v>408</v>
      </c>
    </row>
    <row r="41" customFormat="false" ht="36" hidden="false" customHeight="true" outlineLevel="0" collapsed="false">
      <c r="A41" s="97" t="s">
        <v>409</v>
      </c>
    </row>
    <row r="42" customFormat="false" ht="36" hidden="false" customHeight="true" outlineLevel="0" collapsed="false">
      <c r="A42" s="97" t="s">
        <v>410</v>
      </c>
    </row>
    <row r="43" customFormat="false" ht="19.5" hidden="false" customHeight="true" outlineLevel="0" collapsed="false">
      <c r="A43" s="97" t="s">
        <v>411</v>
      </c>
    </row>
    <row r="44" customFormat="false" ht="36" hidden="false" customHeight="true" outlineLevel="0" collapsed="false">
      <c r="A44" s="97" t="s">
        <v>412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2026-03-08T11:41:36Z</dcterms:created>
  <dc:creator>openpyxl</dc:creator>
  <dc:description/>
  <dc:language>en-US</dc:language>
  <cp:lastModifiedBy/>
  <dcterms:modified xsi:type="dcterms:W3CDTF">2026-03-09T11:18:13Z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