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essionDB" sheetId="1" state="visible" r:id="rId1"/>
    <sheet xmlns:r="http://schemas.openxmlformats.org/officeDocument/2006/relationships" name="ParticipantsDB" sheetId="2" state="visible" r:id="rId2"/>
    <sheet xmlns:r="http://schemas.openxmlformats.org/officeDocument/2006/relationships" name="Participants Statistics" sheetId="3" state="visible" r:id="rId3"/>
    <sheet xmlns:r="http://schemas.openxmlformats.org/officeDocument/2006/relationships" name="Room Management" sheetId="4" state="visible" r:id="rId4"/>
    <sheet xmlns:r="http://schemas.openxmlformats.org/officeDocument/2006/relationships" name="Agenda" sheetId="5" state="visible" r:id="rId5"/>
    <sheet xmlns:r="http://schemas.openxmlformats.org/officeDocument/2006/relationships" name="Speakers" sheetId="6" state="visible" r:id="rId6"/>
    <sheet xmlns:r="http://schemas.openxmlformats.org/officeDocument/2006/relationships" name="How To Use" sheetId="7" state="visible" r:id="rId7"/>
  </sheets>
  <definedNames>
    <definedName name="TrackList" hidden="0" function="0" vbProcedure="0">OFFSET(SessionDB!$R$2,0,0,COUNTA(SessionDB!$R$2:$R$50),1)</definedName>
    <definedName name="_xlnm._FilterDatabase" localSheetId="0" hidden="1">'SessionDB'!$A$1:$K$64</definedName>
    <definedName name="_xlnm._FilterDatabase" localSheetId="1" hidden="1">'ParticipantsDB'!$A$1:$P$21</definedName>
    <definedName name="_xlnm._FilterDatabase" localSheetId="5" hidden="1">'Speakers'!$A$1:$E$15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
  </numFmts>
  <fonts count="75">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color rgb="FFFFFFFF"/>
      <sz val="8"/>
    </font>
    <font>
      <name val="Arial"/>
      <charset val="1"/>
      <family val="0"/>
      <color rgb="FF1E293B"/>
      <sz val="10"/>
    </font>
    <font>
      <name val="Arial"/>
      <charset val="1"/>
      <family val="0"/>
      <b val="1"/>
      <color rgb="FF0000FF"/>
      <sz val="10"/>
    </font>
    <font>
      <name val="Arial"/>
      <charset val="1"/>
      <family val="0"/>
      <b val="1"/>
      <sz val="9"/>
    </font>
    <font>
      <name val="Arial"/>
      <charset val="1"/>
      <family val="0"/>
      <b val="1"/>
      <color rgb="FF1E40AF"/>
      <sz val="10"/>
    </font>
    <font>
      <name val="Arial"/>
      <charset val="1"/>
      <family val="0"/>
      <b val="1"/>
      <color rgb="FF166534"/>
      <sz val="10"/>
    </font>
    <font>
      <name val="Arial"/>
      <charset val="1"/>
      <family val="0"/>
      <b val="1"/>
      <color rgb="FF5B21B6"/>
      <sz val="10"/>
    </font>
    <font>
      <name val="Arial"/>
      <charset val="1"/>
      <family val="0"/>
      <b val="1"/>
      <color rgb="FF9A3412"/>
      <sz val="10"/>
    </font>
    <font>
      <name val="Arial"/>
      <charset val="1"/>
      <family val="0"/>
      <color rgb="FF0000FF"/>
      <sz val="10"/>
    </font>
    <font>
      <name val="Arial"/>
      <charset val="1"/>
      <family val="0"/>
      <b val="1"/>
      <color rgb="FF065F46"/>
      <sz val="10"/>
    </font>
    <font>
      <name val="Arial"/>
      <charset val="1"/>
      <family val="0"/>
      <b val="1"/>
      <color rgb="FF991B1B"/>
      <sz val="10"/>
    </font>
    <font>
      <name val="Arial"/>
      <charset val="1"/>
      <family val="0"/>
      <b val="1"/>
      <color rgb="FFFFFFFF"/>
      <sz val="16"/>
    </font>
    <font>
      <name val="Arial"/>
      <charset val="1"/>
      <family val="0"/>
      <b val="1"/>
      <color rgb="FFFFFFFF"/>
      <sz val="13"/>
    </font>
    <font>
      <name val="Arial"/>
      <charset val="1"/>
      <family val="0"/>
      <b val="1"/>
      <color rgb="FF1E293B"/>
      <sz val="10"/>
    </font>
    <font>
      <name val="Arial"/>
      <charset val="1"/>
      <family val="0"/>
      <b val="1"/>
      <color rgb="FF1B3A5F"/>
      <sz val="11"/>
    </font>
    <font>
      <name val="Arial"/>
      <charset val="1"/>
      <family val="0"/>
      <b val="1"/>
      <color rgb="FFFFFFFF"/>
      <sz val="14"/>
    </font>
    <font>
      <name val="Arial"/>
      <charset val="1"/>
      <family val="0"/>
      <b val="1"/>
      <color rgb="FFFFFFFF"/>
      <sz val="11"/>
    </font>
    <font>
      <name val="Arial"/>
      <charset val="1"/>
      <family val="0"/>
      <b val="1"/>
      <color rgb="FFFFFFFF"/>
      <sz val="9"/>
    </font>
    <font>
      <name val="Arial"/>
      <charset val="1"/>
      <family val="0"/>
      <b val="1"/>
      <color rgb="FFFFFFFF"/>
      <sz val="7"/>
    </font>
    <font>
      <name val="Arial"/>
      <charset val="1"/>
      <family val="0"/>
      <b val="1"/>
      <color rgb="FF1E293B"/>
      <sz val="9"/>
    </font>
    <font>
      <name val="Arial"/>
      <charset val="1"/>
      <family val="0"/>
      <b val="1"/>
      <color rgb="FF166534"/>
      <sz val="8"/>
    </font>
    <font>
      <name val="Arial"/>
      <charset val="1"/>
      <family val="0"/>
      <sz val="8"/>
    </font>
    <font>
      <name val="Arial"/>
      <charset val="1"/>
      <family val="0"/>
      <b val="1"/>
      <color rgb="FF9A3412"/>
      <sz val="8"/>
    </font>
    <font>
      <name val="Arial"/>
      <charset val="1"/>
      <family val="0"/>
      <b val="1"/>
      <color rgb="FF64748B"/>
      <sz val="9"/>
    </font>
    <font>
      <name val="Arial"/>
      <charset val="1"/>
      <family val="0"/>
      <color rgb="FF1E293B"/>
      <sz val="8"/>
    </font>
    <font>
      <name val="Arial"/>
      <charset val="1"/>
      <family val="0"/>
      <color rgb="FF64748B"/>
      <sz val="9"/>
    </font>
    <font>
      <name val="Arial"/>
      <charset val="1"/>
      <family val="0"/>
      <i val="1"/>
      <color rgb="FF64748B"/>
      <sz val="9"/>
    </font>
    <font>
      <name val="Arial"/>
      <charset val="1"/>
      <family val="0"/>
      <b val="1"/>
      <color rgb="FF64748B"/>
      <sz val="8"/>
    </font>
    <font>
      <name val="Arial"/>
      <charset val="1"/>
      <family val="0"/>
      <color rgb="FF64748B"/>
      <sz val="8"/>
    </font>
    <font>
      <name val="Arial"/>
      <charset val="1"/>
      <family val="0"/>
      <b val="1"/>
      <color rgb="FF5D4037"/>
      <sz val="9"/>
    </font>
    <font>
      <name val="Arial"/>
      <charset val="1"/>
      <family val="0"/>
      <b val="1"/>
      <color rgb="FF1E3A5F"/>
      <sz val="8"/>
    </font>
    <font>
      <name val="Arial"/>
      <charset val="1"/>
      <family val="0"/>
      <color rgb="FF1E3A5F"/>
      <sz val="8"/>
    </font>
    <font>
      <name val="Arial"/>
      <charset val="1"/>
      <family val="0"/>
      <b val="1"/>
      <color rgb="FF4A1D96"/>
      <sz val="8"/>
    </font>
    <font>
      <name val="Arial"/>
      <charset val="1"/>
      <family val="0"/>
      <color rgb="FF4A1D96"/>
      <sz val="8"/>
    </font>
    <font>
      <name val="Arial"/>
      <charset val="1"/>
      <family val="0"/>
      <b val="1"/>
      <color rgb="FF065F46"/>
      <sz val="8"/>
    </font>
    <font>
      <name val="Arial"/>
      <charset val="1"/>
      <family val="0"/>
      <color rgb="FF065F46"/>
      <sz val="8"/>
    </font>
    <font>
      <name val="Arial"/>
      <charset val="1"/>
      <family val="0"/>
      <b val="1"/>
      <color rgb="FF7F1D1D"/>
      <sz val="8"/>
    </font>
    <font>
      <name val="Arial"/>
      <charset val="1"/>
      <family val="0"/>
      <color rgb="FF7F1D1D"/>
      <sz val="8"/>
    </font>
    <font>
      <name val="Arial"/>
      <charset val="1"/>
      <family val="0"/>
      <b val="1"/>
      <color rgb="FF546E7A"/>
      <sz val="9"/>
    </font>
    <font>
      <name val="Arial"/>
      <charset val="1"/>
      <family val="0"/>
      <b val="1"/>
      <color rgb="FF1B3A5F"/>
      <sz val="16"/>
    </font>
    <font>
      <name val="Arial"/>
      <charset val="1"/>
      <family val="0"/>
      <b val="1"/>
      <color rgb="FF1B3A5F"/>
      <sz val="14"/>
    </font>
    <font>
      <name val="Arial"/>
      <charset val="1"/>
      <family val="0"/>
      <color rgb="FF1E293B"/>
      <sz val="11"/>
    </font>
    <font>
      <name val="Arial"/>
      <charset val="1"/>
      <family val="0"/>
      <b val="1"/>
      <color rgb="FFDC2626"/>
      <sz val="14"/>
    </font>
    <font>
      <name val="Arial"/>
      <charset val="1"/>
      <family val="0"/>
      <color rgb="FF166534"/>
      <sz val="11"/>
    </font>
    <font>
      <name val="Arial"/>
      <charset val="1"/>
      <family val="0"/>
      <color rgb="FF991B1B"/>
      <sz val="11"/>
    </font>
    <font>
      <name val="Arial"/>
      <charset val="1"/>
      <family val="0"/>
      <b val="1"/>
      <color rgb="FF1B3A5F"/>
      <sz val="13"/>
    </font>
    <font>
      <name val="Arial"/>
      <charset val="1"/>
      <family val="0"/>
      <b val="1"/>
      <color rgb="FFDC2626"/>
      <sz val="13"/>
    </font>
    <font>
      <name val="Arial"/>
      <charset val="1"/>
      <family val="0"/>
      <color rgb="FF991B1B"/>
      <sz val="10"/>
    </font>
    <font>
      <name val="Arial"/>
      <b val="1"/>
      <color rgb="00FFFFFF"/>
      <sz val="14"/>
    </font>
    <font>
      <name val="Arial"/>
      <b val="1"/>
      <color rgb="00FFFFFF"/>
      <sz val="10"/>
    </font>
    <font>
      <name val="Arial"/>
      <b val="1"/>
      <color rgb="00FFFFFF"/>
      <sz val="9"/>
    </font>
    <font>
      <name val="Arial"/>
      <b val="1"/>
      <color rgb="0064748B"/>
      <sz val="8"/>
    </font>
    <font>
      <name val="Arial"/>
      <b val="1"/>
      <color rgb="001E293B"/>
      <sz val="10"/>
    </font>
    <font>
      <name val="Arial"/>
      <b val="1"/>
      <color rgb="001E293B"/>
      <sz val="9"/>
    </font>
    <font>
      <name val="Arial"/>
      <b val="1"/>
      <color rgb="0064748B"/>
      <sz val="9"/>
    </font>
    <font>
      <name val="Arial"/>
      <b val="1"/>
      <color rgb="00166534"/>
      <sz val="8"/>
    </font>
    <font>
      <name val="Arial"/>
      <color rgb="0094A3B8"/>
      <sz val="8"/>
    </font>
    <font>
      <name val="Arial"/>
      <color rgb="0064748B"/>
      <sz val="9"/>
    </font>
    <font>
      <name val="Arial"/>
      <b val="1"/>
      <color rgb="001E40AF"/>
      <sz val="7"/>
    </font>
    <font>
      <name val="Arial"/>
      <color rgb="001E40AF"/>
      <sz val="7"/>
    </font>
    <font>
      <name val="Arial"/>
      <b val="1"/>
      <color rgb="00FFFFFF"/>
      <sz val="11"/>
    </font>
    <font>
      <name val="Arial"/>
      <b val="1"/>
      <color rgb="001E40AF"/>
      <sz val="9"/>
    </font>
    <font>
      <name val="Arial"/>
      <b val="1"/>
      <color rgb="001E40AF"/>
      <sz val="10"/>
    </font>
    <font>
      <name val="Arial"/>
      <b val="1"/>
      <color rgb="00166534"/>
      <sz val="9"/>
    </font>
    <font>
      <name val="Arial"/>
      <b val="1"/>
      <color rgb="00166534"/>
      <sz val="10"/>
    </font>
    <font>
      <name val="Arial"/>
      <b val="1"/>
      <color rgb="0094A3B8"/>
      <sz val="9"/>
    </font>
    <font>
      <name val="Arial"/>
      <b val="1"/>
      <color rgb="0094A3B8"/>
      <sz val="10"/>
    </font>
    <font>
      <name val="Arial"/>
      <i val="1"/>
      <color rgb="0064748B"/>
      <sz val="9"/>
    </font>
    <font>
      <name val="Arial"/>
      <b val="1"/>
      <color rgb="00FFFFFF"/>
      <sz val="8"/>
    </font>
    <font>
      <name val="Arial"/>
      <b val="1"/>
      <sz val="9"/>
    </font>
  </fonts>
  <fills count="40">
    <fill>
      <patternFill/>
    </fill>
    <fill>
      <patternFill patternType="gray125"/>
    </fill>
    <fill>
      <patternFill patternType="solid">
        <fgColor rgb="FF1B3A5F"/>
        <bgColor rgb="FF1E3A5F"/>
      </patternFill>
    </fill>
    <fill>
      <patternFill patternType="solid">
        <fgColor rgb="FF991B1B"/>
        <bgColor rgb="FF7F1D1D"/>
      </patternFill>
    </fill>
    <fill>
      <patternFill patternType="solid">
        <fgColor rgb="FFF2F4F7"/>
        <bgColor rgb="FFF0F1F3"/>
      </patternFill>
    </fill>
    <fill>
      <patternFill patternType="solid">
        <fgColor rgb="FF2563EB"/>
        <bgColor rgb="FF1E40AF"/>
      </patternFill>
    </fill>
    <fill>
      <patternFill patternType="solid">
        <fgColor rgb="FFDBEAFE"/>
        <bgColor rgb="FFE2E8F0"/>
      </patternFill>
    </fill>
    <fill>
      <patternFill patternType="solid">
        <fgColor rgb="FFDCFCE7"/>
        <bgColor rgb="FFD1FAE5"/>
      </patternFill>
    </fill>
    <fill>
      <patternFill patternType="solid">
        <fgColor rgb="FFEDE9FE"/>
        <bgColor rgb="FFECEFF1"/>
      </patternFill>
    </fill>
    <fill>
      <patternFill patternType="solid">
        <fgColor rgb="FFFFEDD5"/>
        <bgColor rgb="FFFEF3C7"/>
      </patternFill>
    </fill>
    <fill>
      <patternFill patternType="solid">
        <fgColor rgb="FFCCFBF1"/>
        <bgColor rgb="FFD1FAE5"/>
      </patternFill>
    </fill>
    <fill>
      <patternFill patternType="solid">
        <fgColor rgb="FFFEE2E2"/>
        <bgColor rgb="FFFCE4EC"/>
      </patternFill>
    </fill>
    <fill>
      <patternFill patternType="solid">
        <fgColor rgb="FFDC2626"/>
        <bgColor rgb="FFBE123C"/>
      </patternFill>
    </fill>
    <fill>
      <patternFill patternType="solid">
        <fgColor rgb="FF7C3AED"/>
        <bgColor rgb="FF6D28D9"/>
      </patternFill>
    </fill>
    <fill>
      <patternFill patternType="solid">
        <fgColor rgb="FF0D9488"/>
        <bgColor rgb="FF339966"/>
      </patternFill>
    </fill>
    <fill>
      <patternFill patternType="solid">
        <fgColor rgb="FF2D3748"/>
        <bgColor rgb="FF2E4057"/>
      </patternFill>
    </fill>
    <fill>
      <patternFill patternType="solid">
        <fgColor rgb="FF475569"/>
        <bgColor rgb="FF546E7A"/>
      </patternFill>
    </fill>
    <fill>
      <patternFill patternType="solid">
        <fgColor rgb="FFF0F1F3"/>
        <bgColor rgb="FFECEFF1"/>
      </patternFill>
    </fill>
    <fill>
      <patternFill patternType="solid">
        <fgColor rgb="FFFEF3C7"/>
        <bgColor rgb="FFFFEDD5"/>
      </patternFill>
    </fill>
    <fill>
      <patternFill patternType="solid">
        <fgColor rgb="FFE2E8F0"/>
        <bgColor rgb="FFDBEAFE"/>
      </patternFill>
    </fill>
    <fill>
      <patternFill patternType="solid">
        <fgColor rgb="FFFFFFFF"/>
        <bgColor rgb="FFFFF8E1"/>
      </patternFill>
    </fill>
    <fill>
      <patternFill patternType="solid">
        <fgColor rgb="FF2E4057"/>
        <bgColor rgb="FF2D3748"/>
      </patternFill>
    </fill>
    <fill>
      <patternFill patternType="solid">
        <fgColor rgb="FF6D28D9"/>
        <bgColor rgb="FF5B21B6"/>
      </patternFill>
    </fill>
    <fill>
      <patternFill patternType="solid">
        <fgColor rgb="FFBE123C"/>
        <bgColor rgb="FFDC2626"/>
      </patternFill>
    </fill>
    <fill>
      <patternFill patternType="solid">
        <fgColor rgb="FFFFF8E1"/>
        <bgColor rgb="FFFFEDD5"/>
      </patternFill>
    </fill>
    <fill>
      <patternFill patternType="solid">
        <fgColor rgb="FFD6E4F0"/>
        <bgColor rgb="FFDBEAFE"/>
      </patternFill>
    </fill>
    <fill>
      <patternFill patternType="solid">
        <fgColor rgb="FFE8E0F0"/>
        <bgColor rgb="FFE2E8F0"/>
      </patternFill>
    </fill>
    <fill>
      <patternFill patternType="solid">
        <fgColor rgb="FFD1FAE5"/>
        <bgColor rgb="FFCCFBF1"/>
      </patternFill>
    </fill>
    <fill>
      <patternFill patternType="solid">
        <fgColor rgb="FFFCE4EC"/>
        <bgColor rgb="FFFEE2E2"/>
      </patternFill>
    </fill>
    <fill>
      <patternFill patternType="solid">
        <fgColor rgb="FFECEFF1"/>
        <bgColor rgb="FFF0F1F3"/>
      </patternFill>
    </fill>
    <fill>
      <patternFill patternType="solid">
        <fgColor rgb="00991B1B"/>
      </patternFill>
    </fill>
    <fill>
      <patternFill patternType="solid">
        <fgColor rgb="00475569"/>
      </patternFill>
    </fill>
    <fill>
      <patternFill patternType="solid">
        <fgColor rgb="002563EB"/>
      </patternFill>
    </fill>
    <fill>
      <patternFill patternType="solid">
        <fgColor rgb="00DC2626"/>
      </patternFill>
    </fill>
    <fill>
      <patternFill patternType="solid">
        <fgColor rgb="00F0F1F3"/>
      </patternFill>
    </fill>
    <fill>
      <patternFill patternType="solid">
        <fgColor rgb="00FEF3C7"/>
      </patternFill>
    </fill>
    <fill>
      <patternFill patternType="solid">
        <fgColor rgb="00DCFCE7"/>
      </patternFill>
    </fill>
    <fill>
      <patternFill patternType="solid">
        <fgColor rgb="00E2E8F0"/>
      </patternFill>
    </fill>
    <fill>
      <patternFill patternType="solid">
        <fgColor rgb="00DBEAFE"/>
      </patternFill>
    </fill>
    <fill>
      <patternFill patternType="solid">
        <fgColor rgb="001B3A5F"/>
      </patternFill>
    </fill>
  </fills>
  <borders count="60">
    <border>
      <left/>
      <right/>
      <top/>
      <bottom/>
      <diagonal/>
    </border>
    <border>
      <left style="thin">
        <color rgb="FFD0D5DD"/>
      </left>
      <right style="thin">
        <color rgb="FFD0D5DD"/>
      </right>
      <top style="thin">
        <color rgb="FFD0D5DD"/>
      </top>
      <bottom style="thin">
        <color rgb="FFD0D5DD"/>
      </bottom>
      <diagonal/>
    </border>
    <border>
      <left style="thin">
        <color rgb="FF90A4AE"/>
      </left>
      <right style="thin">
        <color rgb="FF90A4AE"/>
      </right>
      <top style="thin">
        <color rgb="FF90A4AE"/>
      </top>
      <bottom style="thin">
        <color rgb="FF90A4AE"/>
      </bottom>
      <diagonal/>
    </border>
    <border>
      <left style="thin">
        <color rgb="FF90A4AE"/>
      </left>
      <right style="thin">
        <color rgb="FF90A4AE"/>
      </right>
      <top style="medium">
        <color rgb="FF1B3A5F"/>
      </top>
      <bottom style="thin">
        <color rgb="FF90A4AE"/>
      </bottom>
      <diagonal/>
    </border>
    <border>
      <left style="thin">
        <color rgb="FF90A4AE"/>
      </left>
      <right style="thin">
        <color rgb="FF90A4AE"/>
      </right>
      <top style="hair">
        <color rgb="FFCFD8DC"/>
      </top>
      <bottom style="hair">
        <color rgb="FFCFD8DC"/>
      </bottom>
      <diagonal/>
    </border>
    <border>
      <left style="medium">
        <color rgb="FFD97706"/>
      </left>
      <right style="medium">
        <color rgb="FFD97706"/>
      </right>
      <top style="thin">
        <color rgb="FFD97706"/>
      </top>
      <bottom style="thin">
        <color rgb="FFD97706"/>
      </bottom>
      <diagonal/>
    </border>
    <border>
      <left style="medium">
        <color rgb="FF2563EB"/>
      </left>
      <right style="thin">
        <color rgb="FF2563EB"/>
      </right>
      <top style="thin">
        <color rgb="FF2563EB"/>
      </top>
      <bottom style="thin">
        <color rgb="FF2563EB"/>
      </bottom>
      <diagonal/>
    </border>
    <border>
      <left style="thin">
        <color rgb="FF2563EB"/>
      </left>
      <right style="medium">
        <color rgb="FF2563EB"/>
      </right>
      <top style="thin">
        <color rgb="FF2563EB"/>
      </top>
      <bottom style="thin">
        <color rgb="FF2563EB"/>
      </bottom>
      <diagonal/>
    </border>
    <border>
      <left style="medium">
        <color rgb="FF6D28D9"/>
      </left>
      <right style="thin">
        <color rgb="FF6D28D9"/>
      </right>
      <top style="thin">
        <color rgb="FF6D28D9"/>
      </top>
      <bottom style="thin">
        <color rgb="FF6D28D9"/>
      </bottom>
      <diagonal/>
    </border>
    <border>
      <left style="thin">
        <color rgb="FF6D28D9"/>
      </left>
      <right style="medium">
        <color rgb="FF6D28D9"/>
      </right>
      <top style="thin">
        <color rgb="FF6D28D9"/>
      </top>
      <bottom style="thin">
        <color rgb="FF6D28D9"/>
      </bottom>
      <diagonal/>
    </border>
    <border>
      <left style="medium">
        <color rgb="FF0D9488"/>
      </left>
      <right style="thin">
        <color rgb="FF0D9488"/>
      </right>
      <top style="thin">
        <color rgb="FF0D9488"/>
      </top>
      <bottom style="thin">
        <color rgb="FF0D9488"/>
      </bottom>
      <diagonal/>
    </border>
    <border>
      <left style="thin">
        <color rgb="FF0D9488"/>
      </left>
      <right style="medium">
        <color rgb="FF0D9488"/>
      </right>
      <top style="thin">
        <color rgb="FF0D9488"/>
      </top>
      <bottom style="thin">
        <color rgb="FF0D9488"/>
      </bottom>
      <diagonal/>
    </border>
    <border>
      <left style="medium">
        <color rgb="FFBE123C"/>
      </left>
      <right style="thin">
        <color rgb="FFBE123C"/>
      </right>
      <top style="thin">
        <color rgb="FFBE123C"/>
      </top>
      <bottom style="thin">
        <color rgb="FFBE123C"/>
      </bottom>
      <diagonal/>
    </border>
    <border>
      <left style="thin">
        <color rgb="FFBE123C"/>
      </left>
      <right style="medium">
        <color rgb="FFBE123C"/>
      </right>
      <top style="thin">
        <color rgb="FFBE123C"/>
      </top>
      <bottom style="thin">
        <color rgb="FFBE123C"/>
      </bottom>
      <diagonal/>
    </border>
    <border>
      <left style="medium">
        <color rgb="FF90A4AE"/>
      </left>
      <right style="medium">
        <color rgb="FF90A4AE"/>
      </right>
      <top style="thin">
        <color rgb="FF90A4AE"/>
      </top>
      <bottom style="thin">
        <color rgb="FF90A4AE"/>
      </bottom>
      <diagonal/>
    </border>
    <border>
      <left/>
      <right/>
      <top style="thin">
        <color rgb="FF90A4AE"/>
      </top>
      <bottom/>
      <diagonal/>
    </border>
    <border>
      <left/>
      <right style="thin">
        <color rgb="FF90A4AE"/>
      </right>
      <top style="thin">
        <color rgb="FF90A4AE"/>
      </top>
      <bottom/>
      <diagonal/>
    </border>
    <border>
      <left/>
      <right/>
      <top style="thin">
        <color rgb="FF90A4AE"/>
      </top>
      <bottom style="thin">
        <color rgb="FF90A4AE"/>
      </bottom>
      <diagonal/>
    </border>
    <border>
      <left/>
      <right style="thin">
        <color rgb="FF90A4AE"/>
      </right>
      <top style="thin">
        <color rgb="FF90A4AE"/>
      </top>
      <bottom style="thin">
        <color rgb="FF90A4AE"/>
      </bottom>
      <diagonal/>
    </border>
    <border>
      <left/>
      <right/>
      <top style="thin">
        <color rgb="FFD97706"/>
      </top>
      <bottom/>
      <diagonal/>
    </border>
    <border>
      <left style="medium">
        <color rgb="FFD97706"/>
      </left>
      <right/>
      <top/>
      <bottom/>
      <diagonal/>
    </border>
    <border>
      <left/>
      <right style="medium">
        <color rgb="FFD97706"/>
      </right>
      <top style="thin">
        <color rgb="FFD97706"/>
      </top>
      <bottom/>
      <diagonal/>
    </border>
    <border>
      <left/>
      <right style="medium">
        <color rgb="FFD97706"/>
      </right>
      <top/>
      <bottom/>
      <diagonal/>
    </border>
    <border>
      <left style="medium">
        <color rgb="FFD97706"/>
      </left>
      <right/>
      <top/>
      <bottom style="thin">
        <color rgb="FFD97706"/>
      </bottom>
      <diagonal/>
    </border>
    <border>
      <left/>
      <right/>
      <top/>
      <bottom style="thin">
        <color rgb="FFD97706"/>
      </bottom>
      <diagonal/>
    </border>
    <border>
      <left/>
      <right style="medium">
        <color rgb="FFD97706"/>
      </right>
      <top/>
      <bottom style="thin">
        <color rgb="FFD97706"/>
      </bottom>
      <diagonal/>
    </border>
    <border>
      <left style="medium">
        <color rgb="FF2563EB"/>
      </left>
      <right/>
      <top/>
      <bottom/>
      <diagonal/>
    </border>
    <border>
      <left style="medium">
        <color rgb="FF2563EB"/>
      </left>
      <right style="thin">
        <color rgb="FF2563EB"/>
      </right>
      <top/>
      <bottom/>
      <diagonal/>
    </border>
    <border>
      <left style="medium">
        <color rgb="FF2563EB"/>
      </left>
      <right style="thin">
        <color rgb="FF2563EB"/>
      </right>
      <top/>
      <bottom style="thin">
        <color rgb="FF2563EB"/>
      </bottom>
      <diagonal/>
    </border>
    <border>
      <left style="thin">
        <color rgb="FF2563EB"/>
      </left>
      <right/>
      <top/>
      <bottom/>
      <diagonal/>
    </border>
    <border>
      <left style="thin">
        <color rgb="FF2563EB"/>
      </left>
      <right style="medium">
        <color rgb="FF2563EB"/>
      </right>
      <top/>
      <bottom/>
      <diagonal/>
    </border>
    <border>
      <left style="thin">
        <color rgb="FF2563EB"/>
      </left>
      <right style="medium">
        <color rgb="FF2563EB"/>
      </right>
      <top/>
      <bottom style="thin">
        <color rgb="FF2563EB"/>
      </bottom>
      <diagonal/>
    </border>
    <border>
      <left style="medium">
        <color rgb="FF6D28D9"/>
      </left>
      <right/>
      <top/>
      <bottom/>
      <diagonal/>
    </border>
    <border>
      <left style="medium">
        <color rgb="FF6D28D9"/>
      </left>
      <right style="thin">
        <color rgb="FF6D28D9"/>
      </right>
      <top/>
      <bottom/>
      <diagonal/>
    </border>
    <border>
      <left style="medium">
        <color rgb="FF6D28D9"/>
      </left>
      <right style="thin">
        <color rgb="FF6D28D9"/>
      </right>
      <top/>
      <bottom style="thin">
        <color rgb="FF6D28D9"/>
      </bottom>
      <diagonal/>
    </border>
    <border>
      <left style="thin">
        <color rgb="FF6D28D9"/>
      </left>
      <right/>
      <top/>
      <bottom/>
      <diagonal/>
    </border>
    <border>
      <left style="thin">
        <color rgb="FF6D28D9"/>
      </left>
      <right style="medium">
        <color rgb="FF6D28D9"/>
      </right>
      <top/>
      <bottom/>
      <diagonal/>
    </border>
    <border>
      <left style="thin">
        <color rgb="FF6D28D9"/>
      </left>
      <right style="medium">
        <color rgb="FF6D28D9"/>
      </right>
      <top/>
      <bottom style="thin">
        <color rgb="FF6D28D9"/>
      </bottom>
      <diagonal/>
    </border>
    <border>
      <left style="medium">
        <color rgb="FF0D9488"/>
      </left>
      <right/>
      <top/>
      <bottom/>
      <diagonal/>
    </border>
    <border>
      <left style="medium">
        <color rgb="FF0D9488"/>
      </left>
      <right style="thin">
        <color rgb="FF0D9488"/>
      </right>
      <top/>
      <bottom/>
      <diagonal/>
    </border>
    <border>
      <left style="medium">
        <color rgb="FF0D9488"/>
      </left>
      <right style="thin">
        <color rgb="FF0D9488"/>
      </right>
      <top/>
      <bottom style="thin">
        <color rgb="FF0D9488"/>
      </bottom>
      <diagonal/>
    </border>
    <border>
      <left style="thin">
        <color rgb="FF0D9488"/>
      </left>
      <right/>
      <top/>
      <bottom/>
      <diagonal/>
    </border>
    <border>
      <left style="thin">
        <color rgb="FF0D9488"/>
      </left>
      <right style="medium">
        <color rgb="FF0D9488"/>
      </right>
      <top/>
      <bottom/>
      <diagonal/>
    </border>
    <border>
      <left style="thin">
        <color rgb="FF0D9488"/>
      </left>
      <right style="medium">
        <color rgb="FF0D9488"/>
      </right>
      <top/>
      <bottom style="thin">
        <color rgb="FF0D9488"/>
      </bottom>
      <diagonal/>
    </border>
    <border>
      <left style="medium">
        <color rgb="FFBE123C"/>
      </left>
      <right/>
      <top/>
      <bottom/>
      <diagonal/>
    </border>
    <border>
      <left style="medium">
        <color rgb="FFBE123C"/>
      </left>
      <right style="thin">
        <color rgb="FFBE123C"/>
      </right>
      <top/>
      <bottom/>
      <diagonal/>
    </border>
    <border>
      <left style="medium">
        <color rgb="FFBE123C"/>
      </left>
      <right style="thin">
        <color rgb="FFBE123C"/>
      </right>
      <top/>
      <bottom style="thin">
        <color rgb="FFBE123C"/>
      </bottom>
      <diagonal/>
    </border>
    <border>
      <left style="thin">
        <color rgb="FFBE123C"/>
      </left>
      <right/>
      <top/>
      <bottom/>
      <diagonal/>
    </border>
    <border>
      <left style="thin">
        <color rgb="FFBE123C"/>
      </left>
      <right style="medium">
        <color rgb="FFBE123C"/>
      </right>
      <top/>
      <bottom/>
      <diagonal/>
    </border>
    <border>
      <left style="thin">
        <color rgb="FFBE123C"/>
      </left>
      <right style="medium">
        <color rgb="FFBE123C"/>
      </right>
      <top/>
      <bottom style="thin">
        <color rgb="FFBE123C"/>
      </bottom>
      <diagonal/>
    </border>
    <border>
      <left/>
      <right style="medium">
        <color rgb="FF90A4AE"/>
      </right>
      <top style="thin">
        <color rgb="FF90A4AE"/>
      </top>
      <bottom/>
      <diagonal/>
    </border>
    <border>
      <left/>
      <right style="medium">
        <color rgb="FF90A4AE"/>
      </right>
      <top style="thin">
        <color rgb="FF90A4AE"/>
      </top>
      <bottom style="thin">
        <color rgb="FF90A4AE"/>
      </bottom>
      <diagonal/>
    </border>
    <border>
      <left style="medium">
        <color rgb="FF90A4AE"/>
      </left>
      <right/>
      <top/>
      <bottom/>
      <diagonal/>
    </border>
    <border>
      <left/>
      <right style="medium">
        <color rgb="FF90A4AE"/>
      </right>
      <top/>
      <bottom/>
      <diagonal/>
    </border>
    <border>
      <left style="medium">
        <color rgb="FF90A4AE"/>
      </left>
      <right/>
      <top/>
      <bottom style="thin">
        <color rgb="FF90A4AE"/>
      </bottom>
      <diagonal/>
    </border>
    <border>
      <left/>
      <right/>
      <top/>
      <bottom style="thin">
        <color rgb="FF90A4AE"/>
      </bottom>
      <diagonal/>
    </border>
    <border>
      <left/>
      <right style="medium">
        <color rgb="FF90A4AE"/>
      </right>
      <top/>
      <bottom style="thin">
        <color rgb="FF90A4AE"/>
      </bottom>
      <diagonal/>
    </border>
    <border>
      <left style="thin">
        <color rgb="0090A4AE"/>
      </left>
      <right style="thin">
        <color rgb="0090A4AE"/>
      </right>
      <top style="thin">
        <color rgb="0090A4AE"/>
      </top>
      <bottom style="thin">
        <color rgb="0090A4AE"/>
      </bottom>
    </border>
    <border>
      <left style="thin">
        <color rgb="0090A4AE"/>
      </left>
      <right style="thin">
        <color rgb="0090A4AE"/>
      </right>
      <top style="medium">
        <color rgb="001B3A5F"/>
      </top>
      <bottom style="thin">
        <color rgb="0090A4AE"/>
      </bottom>
    </border>
    <border>
      <left style="thin">
        <color rgb="0090A4AE"/>
      </left>
      <right style="thin">
        <color rgb="0090A4AE"/>
      </right>
      <top style="hair">
        <color rgb="00CFD8DC"/>
      </top>
      <bottom style="hair">
        <color rgb="00CFD8D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3" borderId="0" applyAlignment="1" pivotButton="0" quotePrefix="0" xfId="0">
      <alignment horizontal="center" vertical="center" wrapText="1"/>
    </xf>
    <xf numFmtId="0" fontId="6" fillId="4" borderId="1" applyAlignment="1" pivotButton="0" quotePrefix="0" xfId="0">
      <alignment horizontal="center" vertical="center"/>
    </xf>
    <xf numFmtId="49" fontId="6" fillId="4" borderId="1" applyAlignment="1" pivotButton="0" quotePrefix="0" xfId="0">
      <alignment horizontal="center" vertical="center"/>
    </xf>
    <xf numFmtId="0" fontId="6" fillId="4" borderId="1" applyAlignment="1" pivotButton="0" quotePrefix="0" xfId="0">
      <alignment horizontal="left" vertical="center" wrapText="1"/>
    </xf>
    <xf numFmtId="0" fontId="6" fillId="4" borderId="1" applyAlignment="1" pivotButton="0" quotePrefix="0" xfId="0">
      <alignment horizontal="left" vertical="center"/>
    </xf>
    <xf numFmtId="0" fontId="7" fillId="0" borderId="1" applyAlignment="1" pivotButton="0" quotePrefix="0" xfId="0">
      <alignment horizontal="center" vertical="center"/>
    </xf>
    <xf numFmtId="0" fontId="8" fillId="0" borderId="2"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4" fillId="5" borderId="1" applyAlignment="1" pivotButton="0" quotePrefix="0" xfId="0">
      <alignment horizontal="center" vertical="center" wrapText="1"/>
    </xf>
    <xf numFmtId="0" fontId="9" fillId="6" borderId="1" applyAlignment="1" pivotButton="0" quotePrefix="0" xfId="0">
      <alignment horizontal="left" vertical="center"/>
    </xf>
    <xf numFmtId="0" fontId="10" fillId="7" borderId="1" applyAlignment="1" pivotButton="0" quotePrefix="0" xfId="0">
      <alignment horizontal="center" vertical="center"/>
    </xf>
    <xf numFmtId="0" fontId="11" fillId="8" borderId="1" applyAlignment="1" pivotButton="0" quotePrefix="0" xfId="0">
      <alignment horizontal="left" vertical="center"/>
    </xf>
    <xf numFmtId="0" fontId="12" fillId="9" borderId="1" applyAlignment="1" pivotButton="0" quotePrefix="0" xfId="0">
      <alignment horizontal="center" vertical="center"/>
    </xf>
    <xf numFmtId="0" fontId="13" fillId="0" borderId="1" applyAlignment="1" pivotButton="0" quotePrefix="0" xfId="0">
      <alignment horizontal="left" vertical="center"/>
    </xf>
    <xf numFmtId="0" fontId="14" fillId="10" borderId="1" applyAlignment="1" pivotButton="0" quotePrefix="0" xfId="0">
      <alignment horizontal="left" vertical="center"/>
    </xf>
    <xf numFmtId="0" fontId="13" fillId="4" borderId="1" applyAlignment="1" pivotButton="0" quotePrefix="0" xfId="0">
      <alignment horizontal="left" vertical="center"/>
    </xf>
    <xf numFmtId="0" fontId="15" fillId="11" borderId="1" applyAlignment="1" pivotButton="0" quotePrefix="0" xfId="0">
      <alignment horizontal="left" vertical="center"/>
    </xf>
    <xf numFmtId="0" fontId="16" fillId="2" borderId="0" applyAlignment="1" pivotButton="0" quotePrefix="0" xfId="0">
      <alignment horizontal="center" vertical="center"/>
    </xf>
    <xf numFmtId="0" fontId="17" fillId="2" borderId="0" applyAlignment="1" pivotButton="0" quotePrefix="0" xfId="0">
      <alignment horizontal="left" vertical="center" indent="1"/>
    </xf>
    <xf numFmtId="0" fontId="17" fillId="12" borderId="0" applyAlignment="1" pivotButton="0" quotePrefix="0" xfId="0">
      <alignment horizontal="left" vertical="center" indent="1"/>
    </xf>
    <xf numFmtId="0" fontId="18" fillId="4" borderId="1" applyAlignment="1" pivotButton="0" quotePrefix="0" xfId="0">
      <alignment horizontal="general" vertical="center"/>
    </xf>
    <xf numFmtId="1" fontId="19" fillId="4" borderId="1" applyAlignment="1" pivotButton="0" quotePrefix="0" xfId="0">
      <alignment horizontal="center" vertical="center"/>
    </xf>
    <xf numFmtId="0" fontId="19" fillId="4" borderId="1" applyAlignment="1" pivotButton="0" quotePrefix="0" xfId="0">
      <alignment horizontal="center" vertical="center"/>
    </xf>
    <xf numFmtId="0" fontId="18" fillId="0" borderId="1" applyAlignment="1" pivotButton="0" quotePrefix="0" xfId="0">
      <alignment horizontal="general" vertical="center"/>
    </xf>
    <xf numFmtId="1" fontId="19" fillId="0" borderId="1" applyAlignment="1" pivotButton="0" quotePrefix="0" xfId="0">
      <alignment horizontal="center" vertical="center"/>
    </xf>
    <xf numFmtId="0" fontId="19" fillId="0" borderId="1" applyAlignment="1" pivotButton="0" quotePrefix="0" xfId="0">
      <alignment horizontal="center" vertical="center"/>
    </xf>
    <xf numFmtId="164" fontId="19" fillId="0" borderId="1" applyAlignment="1" pivotButton="0" quotePrefix="0" xfId="0">
      <alignment horizontal="center" vertical="center"/>
    </xf>
    <xf numFmtId="0" fontId="17" fillId="5" borderId="0" applyAlignment="1" pivotButton="0" quotePrefix="0" xfId="0">
      <alignment horizontal="left" vertical="center" indent="1"/>
    </xf>
    <xf numFmtId="165" fontId="19" fillId="0" borderId="1" applyAlignment="1" pivotButton="0" quotePrefix="0" xfId="0">
      <alignment horizontal="center" vertical="center"/>
    </xf>
    <xf numFmtId="0" fontId="17" fillId="13" borderId="0" applyAlignment="1" pivotButton="0" quotePrefix="0" xfId="0">
      <alignment horizontal="left" vertical="center" indent="1"/>
    </xf>
    <xf numFmtId="0" fontId="17" fillId="14" borderId="0" applyAlignment="1" pivotButton="0" quotePrefix="0" xfId="0">
      <alignment horizontal="left" vertical="center" indent="1"/>
    </xf>
    <xf numFmtId="0" fontId="20" fillId="3" borderId="0" applyAlignment="1" pivotButton="0" quotePrefix="0" xfId="0">
      <alignment horizontal="center" vertical="center"/>
    </xf>
    <xf numFmtId="0" fontId="21" fillId="15" borderId="0" applyAlignment="1" pivotButton="0" quotePrefix="0" xfId="0">
      <alignment horizontal="left" vertical="center" indent="1"/>
    </xf>
    <xf numFmtId="0" fontId="22" fillId="16" borderId="2" applyAlignment="1" pivotButton="0" quotePrefix="0" xfId="0">
      <alignment horizontal="center" vertical="center"/>
    </xf>
    <xf numFmtId="0" fontId="18" fillId="17" borderId="2" applyAlignment="1" pivotButton="0" quotePrefix="0" xfId="0">
      <alignment horizontal="left" vertical="center"/>
    </xf>
    <xf numFmtId="0" fontId="6" fillId="17" borderId="2" applyAlignment="1" pivotButton="0" quotePrefix="0" xfId="0">
      <alignment horizontal="center" vertical="center"/>
    </xf>
    <xf numFmtId="0" fontId="6" fillId="17" borderId="2" applyAlignment="1" pivotButton="0" quotePrefix="0" xfId="0">
      <alignment horizontal="left" vertical="center" wrapText="1"/>
    </xf>
    <xf numFmtId="0" fontId="18" fillId="0" borderId="2" applyAlignment="1" pivotButton="0" quotePrefix="0" xfId="0">
      <alignment horizontal="left" vertical="center"/>
    </xf>
    <xf numFmtId="0" fontId="6" fillId="0" borderId="2" applyAlignment="1" pivotButton="0" quotePrefix="0" xfId="0">
      <alignment horizontal="center" vertical="center"/>
    </xf>
    <xf numFmtId="0" fontId="6" fillId="0" borderId="2" applyAlignment="1" pivotButton="0" quotePrefix="0" xfId="0">
      <alignment horizontal="left" vertical="center" wrapText="1"/>
    </xf>
    <xf numFmtId="0" fontId="23" fillId="16" borderId="2" applyAlignment="1" pivotButton="0" quotePrefix="0" xfId="0">
      <alignment horizontal="center" vertical="center"/>
    </xf>
    <xf numFmtId="0" fontId="24" fillId="18" borderId="2" applyAlignment="1" pivotButton="0" quotePrefix="0" xfId="0">
      <alignment horizontal="general" vertical="center"/>
    </xf>
    <xf numFmtId="0" fontId="24" fillId="18" borderId="2" applyAlignment="1" pivotButton="0" quotePrefix="0" xfId="0">
      <alignment horizontal="center" vertical="center"/>
    </xf>
    <xf numFmtId="0" fontId="25" fillId="7" borderId="2" applyAlignment="1" pivotButton="0" quotePrefix="0" xfId="0">
      <alignment horizontal="center" vertical="center"/>
    </xf>
    <xf numFmtId="0" fontId="24" fillId="17" borderId="2" applyAlignment="1" pivotButton="0" quotePrefix="0" xfId="0">
      <alignment horizontal="general" vertical="center"/>
    </xf>
    <xf numFmtId="0" fontId="24" fillId="17" borderId="2" applyAlignment="1" pivotButton="0" quotePrefix="0" xfId="0">
      <alignment horizontal="center" vertical="center"/>
    </xf>
    <xf numFmtId="0" fontId="24" fillId="0" borderId="2" applyAlignment="1" pivotButton="0" quotePrefix="0" xfId="0">
      <alignment horizontal="general" vertical="center"/>
    </xf>
    <xf numFmtId="0" fontId="24" fillId="0" borderId="2" applyAlignment="1" pivotButton="0" quotePrefix="0" xfId="0">
      <alignment horizontal="center" vertical="center"/>
    </xf>
    <xf numFmtId="0" fontId="26" fillId="19" borderId="2" applyAlignment="1" pivotButton="0" quotePrefix="0" xfId="0">
      <alignment horizontal="center" vertical="center"/>
    </xf>
    <xf numFmtId="0" fontId="20" fillId="2" borderId="0" applyAlignment="1" pivotButton="0" quotePrefix="0" xfId="0">
      <alignment horizontal="center" vertical="center"/>
    </xf>
    <xf numFmtId="0" fontId="4" fillId="16" borderId="2" applyAlignment="1" pivotButton="0" quotePrefix="0" xfId="0">
      <alignment horizontal="center" vertical="center"/>
    </xf>
    <xf numFmtId="0" fontId="5" fillId="5" borderId="2" applyAlignment="1" pivotButton="0" quotePrefix="0" xfId="0">
      <alignment horizontal="center" vertical="center" wrapText="1"/>
    </xf>
    <xf numFmtId="0" fontId="5" fillId="12" borderId="2" applyAlignment="1" pivotButton="0" quotePrefix="0" xfId="0">
      <alignment horizontal="center" vertical="center" wrapText="1"/>
    </xf>
    <xf numFmtId="0" fontId="0" fillId="17" borderId="2" applyAlignment="1" pivotButton="0" quotePrefix="0" xfId="0">
      <alignment horizontal="general" vertical="bottom"/>
    </xf>
    <xf numFmtId="0" fontId="27" fillId="9" borderId="2" applyAlignment="1" pivotButton="0" quotePrefix="0" xfId="0">
      <alignment horizontal="center" vertical="center"/>
    </xf>
    <xf numFmtId="49" fontId="24" fillId="18" borderId="3" applyAlignment="1" pivotButton="0" quotePrefix="0" xfId="0">
      <alignment horizontal="center" vertical="center"/>
    </xf>
    <xf numFmtId="49" fontId="28" fillId="18" borderId="3" applyAlignment="1" pivotButton="0" quotePrefix="0" xfId="0">
      <alignment horizontal="center" vertical="center"/>
    </xf>
    <xf numFmtId="0" fontId="29" fillId="0" borderId="3" applyAlignment="1" pivotButton="0" quotePrefix="0" xfId="0">
      <alignment horizontal="center" vertical="center" wrapText="1"/>
    </xf>
    <xf numFmtId="49" fontId="24" fillId="0" borderId="2" applyAlignment="1" pivotButton="0" quotePrefix="0" xfId="0">
      <alignment horizontal="center" vertical="center"/>
    </xf>
    <xf numFmtId="49" fontId="30" fillId="0" borderId="2" applyAlignment="1" pivotButton="0" quotePrefix="0" xfId="0">
      <alignment horizontal="center" vertical="center"/>
    </xf>
    <xf numFmtId="0" fontId="29" fillId="0" borderId="4" applyAlignment="1" pivotButton="0" quotePrefix="0" xfId="0">
      <alignment horizontal="center" vertical="center" wrapText="1"/>
    </xf>
    <xf numFmtId="49" fontId="24" fillId="17" borderId="2" applyAlignment="1" pivotButton="0" quotePrefix="0" xfId="0">
      <alignment horizontal="center" vertical="center"/>
    </xf>
    <xf numFmtId="49" fontId="28" fillId="17" borderId="2" applyAlignment="1" pivotButton="0" quotePrefix="0" xfId="0">
      <alignment horizontal="center" vertical="center"/>
    </xf>
    <xf numFmtId="0" fontId="31" fillId="0" borderId="0" applyAlignment="1" pivotButton="0" quotePrefix="0" xfId="0">
      <alignment horizontal="center" vertical="bottom" wrapText="1"/>
    </xf>
    <xf numFmtId="0" fontId="21" fillId="2" borderId="2" applyAlignment="1" pivotButton="0" quotePrefix="0" xfId="0">
      <alignment horizontal="center" vertical="center"/>
    </xf>
    <xf numFmtId="0" fontId="0" fillId="20" borderId="0" applyAlignment="1" pivotButton="0" quotePrefix="0" xfId="0">
      <alignment horizontal="general" vertical="bottom"/>
    </xf>
    <xf numFmtId="0" fontId="21" fillId="21" borderId="2" applyAlignment="1" pivotButton="0" quotePrefix="0" xfId="0">
      <alignment horizontal="center" vertical="center"/>
    </xf>
    <xf numFmtId="0" fontId="5" fillId="15" borderId="2" applyAlignment="1" pivotButton="0" quotePrefix="0" xfId="0">
      <alignment horizontal="center" vertical="center"/>
    </xf>
    <xf numFmtId="0" fontId="5" fillId="5" borderId="2" applyAlignment="1" pivotButton="0" quotePrefix="0" xfId="0">
      <alignment horizontal="center" vertical="center"/>
    </xf>
    <xf numFmtId="0" fontId="5" fillId="22" borderId="2" applyAlignment="1" pivotButton="0" quotePrefix="0" xfId="0">
      <alignment horizontal="center" vertical="center"/>
    </xf>
    <xf numFmtId="0" fontId="5" fillId="14" borderId="2" applyAlignment="1" pivotButton="0" quotePrefix="0" xfId="0">
      <alignment horizontal="center" vertical="center"/>
    </xf>
    <xf numFmtId="0" fontId="5" fillId="23" borderId="2" applyAlignment="1" pivotButton="0" quotePrefix="0" xfId="0">
      <alignment horizontal="center" vertical="center"/>
    </xf>
    <xf numFmtId="0" fontId="32" fillId="17" borderId="2" applyAlignment="1" pivotButton="0" quotePrefix="0" xfId="0">
      <alignment horizontal="center" vertical="center"/>
    </xf>
    <xf numFmtId="0" fontId="0" fillId="0" borderId="2" applyAlignment="1" pivotButton="0" quotePrefix="0" xfId="0">
      <alignment horizontal="general" vertical="bottom"/>
    </xf>
    <xf numFmtId="0" fontId="33" fillId="17" borderId="2" applyAlignment="1" pivotButton="0" quotePrefix="0" xfId="0">
      <alignment horizontal="center" vertical="center"/>
    </xf>
    <xf numFmtId="0" fontId="34" fillId="24" borderId="5" applyAlignment="1" pivotButton="0" quotePrefix="0" xfId="0">
      <alignment horizontal="center" vertical="center" wrapText="1"/>
    </xf>
    <xf numFmtId="0" fontId="35" fillId="25" borderId="6" applyAlignment="1" pivotButton="0" quotePrefix="0" xfId="0">
      <alignment horizontal="center" vertical="center" wrapText="1"/>
    </xf>
    <xf numFmtId="0" fontId="36" fillId="25" borderId="7" applyAlignment="1" pivotButton="0" quotePrefix="0" xfId="0">
      <alignment horizontal="center" vertical="center" wrapText="1"/>
    </xf>
    <xf numFmtId="0" fontId="37" fillId="26" borderId="8" applyAlignment="1" pivotButton="0" quotePrefix="0" xfId="0">
      <alignment horizontal="center" vertical="center" wrapText="1"/>
    </xf>
    <xf numFmtId="0" fontId="38" fillId="26" borderId="9" applyAlignment="1" pivotButton="0" quotePrefix="0" xfId="0">
      <alignment horizontal="center" vertical="center" wrapText="1"/>
    </xf>
    <xf numFmtId="0" fontId="39" fillId="27" borderId="10" applyAlignment="1" pivotButton="0" quotePrefix="0" xfId="0">
      <alignment horizontal="center" vertical="center" wrapText="1"/>
    </xf>
    <xf numFmtId="0" fontId="40" fillId="27" borderId="11" applyAlignment="1" pivotButton="0" quotePrefix="0" xfId="0">
      <alignment horizontal="center" vertical="center" wrapText="1"/>
    </xf>
    <xf numFmtId="0" fontId="41" fillId="28" borderId="12" applyAlignment="1" pivotButton="0" quotePrefix="0" xfId="0">
      <alignment horizontal="center" vertical="center" wrapText="1"/>
    </xf>
    <xf numFmtId="0" fontId="42" fillId="28" borderId="13" applyAlignment="1" pivotButton="0" quotePrefix="0" xfId="0">
      <alignment horizontal="center" vertical="center" wrapText="1"/>
    </xf>
    <xf numFmtId="0" fontId="43" fillId="29" borderId="14" applyAlignment="1" pivotButton="0" quotePrefix="0" xfId="0">
      <alignment horizontal="center" vertical="center" wrapText="1"/>
    </xf>
    <xf numFmtId="0" fontId="4" fillId="14" borderId="1" applyAlignment="1" pivotButton="0" quotePrefix="0" xfId="0">
      <alignment horizontal="center" vertical="center"/>
    </xf>
    <xf numFmtId="0" fontId="6" fillId="4" borderId="1" applyAlignment="1" pivotButton="0" quotePrefix="0" xfId="0">
      <alignment horizontal="general" vertical="center"/>
    </xf>
    <xf numFmtId="0" fontId="6" fillId="4" borderId="1" applyAlignment="1" pivotButton="0" quotePrefix="0" xfId="0">
      <alignment horizontal="general" vertical="center" wrapText="1"/>
    </xf>
    <xf numFmtId="0" fontId="6" fillId="0" borderId="1" applyAlignment="1" pivotButton="0" quotePrefix="0" xfId="0">
      <alignment horizontal="general" vertical="center"/>
    </xf>
    <xf numFmtId="0" fontId="6" fillId="0" borderId="1" applyAlignment="1" pivotButton="0" quotePrefix="0" xfId="0">
      <alignment horizontal="general" vertical="center" wrapText="1"/>
    </xf>
    <xf numFmtId="0" fontId="44" fillId="0" borderId="0" applyAlignment="1" pivotButton="0" quotePrefix="0" xfId="0">
      <alignment horizontal="general" vertical="center" wrapText="1"/>
    </xf>
    <xf numFmtId="0" fontId="6" fillId="0" borderId="0" applyAlignment="1" pivotButton="0" quotePrefix="0" xfId="0">
      <alignment horizontal="general" vertical="center" wrapText="1"/>
    </xf>
    <xf numFmtId="0" fontId="45" fillId="0" borderId="0" applyAlignment="1" pivotButton="0" quotePrefix="0" xfId="0">
      <alignment horizontal="general" vertical="center" wrapText="1"/>
    </xf>
    <xf numFmtId="0" fontId="46" fillId="0" borderId="0" applyAlignment="1" pivotButton="0" quotePrefix="0" xfId="0">
      <alignment horizontal="general" vertical="center" wrapText="1"/>
    </xf>
    <xf numFmtId="0" fontId="47" fillId="0" borderId="0" applyAlignment="1" pivotButton="0" quotePrefix="0" xfId="0">
      <alignment horizontal="general" vertical="center" wrapText="1"/>
    </xf>
    <xf numFmtId="0" fontId="48" fillId="0" borderId="0" applyAlignment="1" pivotButton="0" quotePrefix="0" xfId="0">
      <alignment horizontal="general" vertical="center" wrapText="1"/>
    </xf>
    <xf numFmtId="0" fontId="49" fillId="0" borderId="0" applyAlignment="1" pivotButton="0" quotePrefix="0" xfId="0">
      <alignment horizontal="general" vertical="center" wrapText="1"/>
    </xf>
    <xf numFmtId="0" fontId="50" fillId="0" borderId="0" applyAlignment="1" pivotButton="0" quotePrefix="0" xfId="0">
      <alignment horizontal="general" vertical="center" wrapText="1"/>
    </xf>
    <xf numFmtId="0" fontId="51" fillId="0" borderId="0" applyAlignment="1" pivotButton="0" quotePrefix="0" xfId="0">
      <alignment horizontal="general" vertical="center" wrapText="1"/>
    </xf>
    <xf numFmtId="0" fontId="52"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73" fillId="30" borderId="0" applyAlignment="1" pivotButton="0" quotePrefix="0" xfId="0">
      <alignment horizontal="center" vertical="center" wrapText="1"/>
    </xf>
    <xf numFmtId="0" fontId="6" fillId="4" borderId="1" applyAlignment="1" pivotButton="0" quotePrefix="0" xfId="0">
      <alignment horizontal="center" vertical="center"/>
    </xf>
    <xf numFmtId="49" fontId="6" fillId="4" borderId="1" applyAlignment="1" pivotButton="0" quotePrefix="0" xfId="0">
      <alignment horizontal="center" vertical="center"/>
    </xf>
    <xf numFmtId="0" fontId="6" fillId="4" borderId="1" applyAlignment="1" pivotButton="0" quotePrefix="0" xfId="0">
      <alignment horizontal="left" vertical="center" wrapText="1"/>
    </xf>
    <xf numFmtId="0" fontId="6" fillId="4" borderId="1" applyAlignment="1" pivotButton="0" quotePrefix="0" xfId="0">
      <alignment horizontal="left" vertical="center"/>
    </xf>
    <xf numFmtId="0" fontId="7" fillId="0" borderId="1" applyAlignment="1" pivotButton="0" quotePrefix="0" xfId="0">
      <alignment horizontal="center" vertical="center"/>
    </xf>
    <xf numFmtId="0" fontId="74" fillId="0" borderId="57"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center" vertical="center"/>
    </xf>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4" fillId="5" borderId="1" applyAlignment="1" pivotButton="0" quotePrefix="0" xfId="0">
      <alignment horizontal="center" vertical="center" wrapText="1"/>
    </xf>
    <xf numFmtId="0" fontId="9" fillId="6" borderId="1" applyAlignment="1" pivotButton="0" quotePrefix="0" xfId="0">
      <alignment horizontal="left" vertical="center"/>
    </xf>
    <xf numFmtId="0" fontId="10" fillId="7" borderId="1" applyAlignment="1" pivotButton="0" quotePrefix="0" xfId="0">
      <alignment horizontal="center" vertical="center"/>
    </xf>
    <xf numFmtId="0" fontId="11" fillId="8" borderId="1" applyAlignment="1" pivotButton="0" quotePrefix="0" xfId="0">
      <alignment horizontal="left" vertical="center"/>
    </xf>
    <xf numFmtId="0" fontId="12" fillId="9" borderId="1" applyAlignment="1" pivotButton="0" quotePrefix="0" xfId="0">
      <alignment horizontal="center" vertical="center"/>
    </xf>
    <xf numFmtId="0" fontId="13" fillId="0" borderId="1" applyAlignment="1" pivotButton="0" quotePrefix="0" xfId="0">
      <alignment horizontal="left" vertical="center"/>
    </xf>
    <xf numFmtId="0" fontId="14" fillId="10" borderId="1" applyAlignment="1" pivotButton="0" quotePrefix="0" xfId="0">
      <alignment horizontal="left" vertical="center"/>
    </xf>
    <xf numFmtId="0" fontId="13" fillId="4" borderId="1" applyAlignment="1" pivotButton="0" quotePrefix="0" xfId="0">
      <alignment horizontal="left" vertical="center"/>
    </xf>
    <xf numFmtId="0" fontId="15" fillId="11" borderId="1" applyAlignment="1" pivotButton="0" quotePrefix="0" xfId="0">
      <alignment horizontal="left" vertical="center"/>
    </xf>
    <xf numFmtId="0" fontId="16" fillId="2" borderId="0" applyAlignment="1" pivotButton="0" quotePrefix="0" xfId="0">
      <alignment horizontal="center" vertical="center"/>
    </xf>
    <xf numFmtId="0" fontId="17" fillId="2" borderId="0" applyAlignment="1" pivotButton="0" quotePrefix="0" xfId="0">
      <alignment horizontal="left" vertical="center" indent="1"/>
    </xf>
    <xf numFmtId="0" fontId="17" fillId="12" borderId="0" applyAlignment="1" pivotButton="0" quotePrefix="0" xfId="0">
      <alignment horizontal="left" vertical="center" indent="1"/>
    </xf>
    <xf numFmtId="0" fontId="18" fillId="4" borderId="1" applyAlignment="1" pivotButton="0" quotePrefix="0" xfId="0">
      <alignment horizontal="general" vertical="center"/>
    </xf>
    <xf numFmtId="1" fontId="19" fillId="4" borderId="1" applyAlignment="1" pivotButton="0" quotePrefix="0" xfId="0">
      <alignment horizontal="center" vertical="center"/>
    </xf>
    <xf numFmtId="0" fontId="19" fillId="4" borderId="1" applyAlignment="1" pivotButton="0" quotePrefix="0" xfId="0">
      <alignment horizontal="center" vertical="center"/>
    </xf>
    <xf numFmtId="0" fontId="18" fillId="0" borderId="1" applyAlignment="1" pivotButton="0" quotePrefix="0" xfId="0">
      <alignment horizontal="general" vertical="center"/>
    </xf>
    <xf numFmtId="1" fontId="19" fillId="0" borderId="1" applyAlignment="1" pivotButton="0" quotePrefix="0" xfId="0">
      <alignment horizontal="center" vertical="center"/>
    </xf>
    <xf numFmtId="0" fontId="19" fillId="0" borderId="1" applyAlignment="1" pivotButton="0" quotePrefix="0" xfId="0">
      <alignment horizontal="center" vertical="center"/>
    </xf>
    <xf numFmtId="164" fontId="19" fillId="0" borderId="1" applyAlignment="1" pivotButton="0" quotePrefix="0" xfId="0">
      <alignment horizontal="center" vertical="center"/>
    </xf>
    <xf numFmtId="0" fontId="17" fillId="5" borderId="0" applyAlignment="1" pivotButton="0" quotePrefix="0" xfId="0">
      <alignment horizontal="left" vertical="center" indent="1"/>
    </xf>
    <xf numFmtId="165" fontId="19" fillId="0" borderId="1" applyAlignment="1" pivotButton="0" quotePrefix="0" xfId="0">
      <alignment horizontal="center" vertical="center"/>
    </xf>
    <xf numFmtId="0" fontId="17" fillId="13" borderId="0" applyAlignment="1" pivotButton="0" quotePrefix="0" xfId="0">
      <alignment horizontal="left" vertical="center" indent="1"/>
    </xf>
    <xf numFmtId="0" fontId="17" fillId="14" borderId="0" applyAlignment="1" pivotButton="0" quotePrefix="0" xfId="0">
      <alignment horizontal="left" vertical="center" indent="1"/>
    </xf>
    <xf numFmtId="0" fontId="53" fillId="30" borderId="0" applyAlignment="1" pivotButton="0" quotePrefix="0" xfId="0">
      <alignment horizontal="center" vertical="center"/>
    </xf>
    <xf numFmtId="0" fontId="0" fillId="30" borderId="0" pivotButton="0" quotePrefix="0" xfId="0"/>
    <xf numFmtId="0" fontId="54" fillId="31" borderId="57" applyAlignment="1" pivotButton="0" quotePrefix="0" xfId="0">
      <alignment horizontal="center" vertical="center"/>
    </xf>
    <xf numFmtId="0" fontId="55" fillId="32" borderId="57" applyAlignment="1" pivotButton="0" quotePrefix="0" xfId="0">
      <alignment horizontal="center" vertical="center" wrapText="1"/>
    </xf>
    <xf numFmtId="0" fontId="55" fillId="33" borderId="57" applyAlignment="1" pivotButton="0" quotePrefix="0" xfId="0">
      <alignment horizontal="center" vertical="center" wrapText="1"/>
    </xf>
    <xf numFmtId="0" fontId="0" fillId="34" borderId="57" pivotButton="0" quotePrefix="0" xfId="0"/>
    <xf numFmtId="0" fontId="56" fillId="34" borderId="57" applyAlignment="1" pivotButton="0" quotePrefix="0" xfId="0">
      <alignment horizontal="center" vertical="center"/>
    </xf>
    <xf numFmtId="0" fontId="57" fillId="34" borderId="57" applyAlignment="1" pivotButton="0" quotePrefix="0" xfId="0">
      <alignment horizontal="center" vertical="center"/>
    </xf>
    <xf numFmtId="49" fontId="58" fillId="35" borderId="58" applyAlignment="1" pivotButton="0" quotePrefix="0" xfId="0">
      <alignment horizontal="center" vertical="center"/>
    </xf>
    <xf numFmtId="49" fontId="59" fillId="35" borderId="58" applyAlignment="1" pivotButton="0" quotePrefix="0" xfId="0">
      <alignment horizontal="center" vertical="center"/>
    </xf>
    <xf numFmtId="0" fontId="60" fillId="36" borderId="58" applyAlignment="1" pivotButton="0" quotePrefix="0" xfId="0">
      <alignment horizontal="center" vertical="center" wrapText="1"/>
    </xf>
    <xf numFmtId="0" fontId="61" fillId="37" borderId="58" applyAlignment="1" pivotButton="0" quotePrefix="0" xfId="0">
      <alignment horizontal="center" vertical="center" wrapText="1"/>
    </xf>
    <xf numFmtId="49" fontId="58" fillId="0" borderId="57" applyAlignment="1" pivotButton="0" quotePrefix="0" xfId="0">
      <alignment horizontal="center" vertical="center"/>
    </xf>
    <xf numFmtId="49" fontId="62" fillId="0" borderId="57" applyAlignment="1" pivotButton="0" quotePrefix="0" xfId="0">
      <alignment horizontal="center" vertical="center"/>
    </xf>
    <xf numFmtId="0" fontId="60" fillId="36" borderId="59" applyAlignment="1" pivotButton="0" quotePrefix="0" xfId="0">
      <alignment horizontal="center" vertical="center" wrapText="1"/>
    </xf>
    <xf numFmtId="0" fontId="61" fillId="37" borderId="59" applyAlignment="1" pivotButton="0" quotePrefix="0" xfId="0">
      <alignment horizontal="center" vertical="center" wrapText="1"/>
    </xf>
    <xf numFmtId="49" fontId="58" fillId="34" borderId="57" applyAlignment="1" pivotButton="0" quotePrefix="0" xfId="0">
      <alignment horizontal="center" vertical="center"/>
    </xf>
    <xf numFmtId="49" fontId="59" fillId="34" borderId="57" applyAlignment="1" pivotButton="0" quotePrefix="0" xfId="0">
      <alignment horizontal="center" vertical="center"/>
    </xf>
    <xf numFmtId="0" fontId="63" fillId="38" borderId="59" applyAlignment="1" pivotButton="0" quotePrefix="0" xfId="0">
      <alignment horizontal="center" vertical="center" wrapText="1"/>
    </xf>
    <xf numFmtId="0" fontId="64" fillId="38" borderId="59" applyAlignment="1" pivotButton="0" quotePrefix="0" xfId="0">
      <alignment horizontal="center" vertical="center" wrapText="1"/>
    </xf>
    <xf numFmtId="0" fontId="65" fillId="39" borderId="0" applyAlignment="1" pivotButton="0" quotePrefix="0" xfId="0">
      <alignment horizontal="center" vertical="center"/>
    </xf>
    <xf numFmtId="0" fontId="0" fillId="39" borderId="0" pivotButton="0" quotePrefix="0" xfId="0"/>
    <xf numFmtId="0" fontId="66" fillId="38" borderId="57" applyAlignment="1" pivotButton="0" quotePrefix="0" xfId="0">
      <alignment horizontal="center" vertical="center"/>
    </xf>
    <xf numFmtId="0" fontId="0" fillId="38" borderId="57" pivotButton="0" quotePrefix="0" xfId="0"/>
    <xf numFmtId="0" fontId="67" fillId="38" borderId="57" applyAlignment="1" pivotButton="0" quotePrefix="0" xfId="0">
      <alignment horizontal="center" vertical="center"/>
    </xf>
    <xf numFmtId="0" fontId="68" fillId="36" borderId="57" applyAlignment="1" pivotButton="0" quotePrefix="0" xfId="0">
      <alignment horizontal="center" vertical="center"/>
    </xf>
    <xf numFmtId="0" fontId="0" fillId="36" borderId="57" pivotButton="0" quotePrefix="0" xfId="0"/>
    <xf numFmtId="0" fontId="69" fillId="36" borderId="57" applyAlignment="1" pivotButton="0" quotePrefix="0" xfId="0">
      <alignment horizontal="center" vertical="center"/>
    </xf>
    <xf numFmtId="0" fontId="70" fillId="37" borderId="57" applyAlignment="1" pivotButton="0" quotePrefix="0" xfId="0">
      <alignment horizontal="center" vertical="center"/>
    </xf>
    <xf numFmtId="0" fontId="0" fillId="37" borderId="57" pivotButton="0" quotePrefix="0" xfId="0"/>
    <xf numFmtId="0" fontId="71" fillId="37" borderId="57" applyAlignment="1" pivotButton="0" quotePrefix="0" xfId="0">
      <alignment horizontal="center" vertical="center"/>
    </xf>
    <xf numFmtId="0" fontId="72" fillId="0" borderId="0" applyAlignment="1" pivotButton="0" quotePrefix="0" xfId="0">
      <alignment horizontal="center" wrapText="1"/>
    </xf>
    <xf numFmtId="0" fontId="20" fillId="2" borderId="0" applyAlignment="1" pivotButton="0" quotePrefix="0" xfId="0">
      <alignment horizontal="center" vertical="center"/>
    </xf>
    <xf numFmtId="0" fontId="21" fillId="2" borderId="2" applyAlignment="1" pivotButton="0" quotePrefix="0" xfId="0">
      <alignment horizontal="center" vertical="center"/>
    </xf>
    <xf numFmtId="0" fontId="0" fillId="0" borderId="17" pivotButton="0" quotePrefix="0" xfId="0"/>
    <xf numFmtId="0" fontId="0" fillId="0" borderId="18" pivotButton="0" quotePrefix="0" xfId="0"/>
    <xf numFmtId="0" fontId="0" fillId="20" borderId="0" applyAlignment="1" pivotButton="0" quotePrefix="0" xfId="0">
      <alignment horizontal="general" vertical="bottom"/>
    </xf>
    <xf numFmtId="0" fontId="21" fillId="21" borderId="2" applyAlignment="1" pivotButton="0" quotePrefix="0" xfId="0">
      <alignment horizontal="center" vertical="center"/>
    </xf>
    <xf numFmtId="0" fontId="5" fillId="15" borderId="2" applyAlignment="1" pivotButton="0" quotePrefix="0" xfId="0">
      <alignment horizontal="center" vertical="center"/>
    </xf>
    <xf numFmtId="0" fontId="5" fillId="5" borderId="2" applyAlignment="1" pivotButton="0" quotePrefix="0" xfId="0">
      <alignment horizontal="center" vertical="center"/>
    </xf>
    <xf numFmtId="0" fontId="5" fillId="22" borderId="2" applyAlignment="1" pivotButton="0" quotePrefix="0" xfId="0">
      <alignment horizontal="center" vertical="center"/>
    </xf>
    <xf numFmtId="0" fontId="5" fillId="14" borderId="2" applyAlignment="1" pivotButton="0" quotePrefix="0" xfId="0">
      <alignment horizontal="center" vertical="center"/>
    </xf>
    <xf numFmtId="0" fontId="5" fillId="23" borderId="2" applyAlignment="1" pivotButton="0" quotePrefix="0" xfId="0">
      <alignment horizontal="center" vertical="center"/>
    </xf>
    <xf numFmtId="0" fontId="32" fillId="17" borderId="2" applyAlignment="1" pivotButton="0" quotePrefix="0" xfId="0">
      <alignment horizontal="center" vertical="center"/>
    </xf>
    <xf numFmtId="0" fontId="0" fillId="0" borderId="2" applyAlignment="1" pivotButton="0" quotePrefix="0" xfId="0">
      <alignment horizontal="general" vertical="bottom"/>
    </xf>
    <xf numFmtId="0" fontId="33" fillId="17" borderId="2" applyAlignment="1" pivotButton="0" quotePrefix="0" xfId="0">
      <alignment horizontal="center" vertical="center"/>
    </xf>
    <xf numFmtId="0" fontId="34" fillId="24" borderId="5" applyAlignment="1" pivotButton="0" quotePrefix="0" xfId="0">
      <alignment horizontal="center" vertical="center" wrapText="1"/>
    </xf>
    <xf numFmtId="0" fontId="0" fillId="0" borderId="19" pivotButton="0" quotePrefix="0" xfId="0"/>
    <xf numFmtId="0" fontId="0" fillId="0" borderId="21" pivotButton="0" quotePrefix="0" xfId="0"/>
    <xf numFmtId="0" fontId="35" fillId="25" borderId="6" applyAlignment="1" pivotButton="0" quotePrefix="0" xfId="0">
      <alignment horizontal="center" vertical="center" wrapText="1"/>
    </xf>
    <xf numFmtId="0" fontId="36" fillId="25" borderId="7" applyAlignment="1" pivotButton="0" quotePrefix="0" xfId="0">
      <alignment horizontal="center" vertical="center" wrapText="1"/>
    </xf>
    <xf numFmtId="0" fontId="37" fillId="26" borderId="8" applyAlignment="1" pivotButton="0" quotePrefix="0" xfId="0">
      <alignment horizontal="center" vertical="center" wrapText="1"/>
    </xf>
    <xf numFmtId="0" fontId="38" fillId="26" borderId="9" applyAlignment="1" pivotButton="0" quotePrefix="0" xfId="0">
      <alignment horizontal="center" vertical="center" wrapText="1"/>
    </xf>
    <xf numFmtId="0" fontId="39" fillId="27" borderId="10" applyAlignment="1" pivotButton="0" quotePrefix="0" xfId="0">
      <alignment horizontal="center" vertical="center" wrapText="1"/>
    </xf>
    <xf numFmtId="0" fontId="40" fillId="27" borderId="11" applyAlignment="1" pivotButton="0" quotePrefix="0" xfId="0">
      <alignment horizontal="center" vertical="center" wrapText="1"/>
    </xf>
    <xf numFmtId="0" fontId="41" fillId="28" borderId="12" applyAlignment="1" pivotButton="0" quotePrefix="0" xfId="0">
      <alignment horizontal="center" vertical="center" wrapText="1"/>
    </xf>
    <xf numFmtId="0" fontId="42" fillId="28" borderId="13" applyAlignment="1" pivotButton="0" quotePrefix="0" xfId="0">
      <alignment horizontal="center"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7" pivotButton="0" quotePrefix="0" xfId="0"/>
    <xf numFmtId="0" fontId="0" fillId="0" borderId="30" pivotButton="0" quotePrefix="0" xfId="0"/>
    <xf numFmtId="0" fontId="0" fillId="0" borderId="33" pivotButton="0" quotePrefix="0" xfId="0"/>
    <xf numFmtId="0" fontId="0" fillId="0" borderId="36" pivotButton="0" quotePrefix="0" xfId="0"/>
    <xf numFmtId="0" fontId="0" fillId="0" borderId="39" pivotButton="0" quotePrefix="0" xfId="0"/>
    <xf numFmtId="0" fontId="0" fillId="0" borderId="42" pivotButton="0" quotePrefix="0" xfId="0"/>
    <xf numFmtId="0" fontId="0" fillId="0" borderId="45" pivotButton="0" quotePrefix="0" xfId="0"/>
    <xf numFmtId="0" fontId="0" fillId="0" borderId="48" pivotButton="0" quotePrefix="0" xfId="0"/>
    <xf numFmtId="0" fontId="0" fillId="0" borderId="28" pivotButton="0" quotePrefix="0" xfId="0"/>
    <xf numFmtId="0" fontId="0" fillId="0" borderId="31" pivotButton="0" quotePrefix="0" xfId="0"/>
    <xf numFmtId="0" fontId="0" fillId="0" borderId="34" pivotButton="0" quotePrefix="0" xfId="0"/>
    <xf numFmtId="0" fontId="0" fillId="0" borderId="37" pivotButton="0" quotePrefix="0" xfId="0"/>
    <xf numFmtId="0" fontId="0" fillId="0" borderId="40" pivotButton="0" quotePrefix="0" xfId="0"/>
    <xf numFmtId="0" fontId="0" fillId="0" borderId="43" pivotButton="0" quotePrefix="0" xfId="0"/>
    <xf numFmtId="0" fontId="0" fillId="0" borderId="46" pivotButton="0" quotePrefix="0" xfId="0"/>
    <xf numFmtId="0" fontId="0" fillId="0" borderId="49" pivotButton="0" quotePrefix="0" xfId="0"/>
    <xf numFmtId="0" fontId="43" fillId="29" borderId="14" applyAlignment="1" pivotButton="0" quotePrefix="0" xfId="0">
      <alignment horizontal="center" vertical="center" wrapText="1"/>
    </xf>
    <xf numFmtId="0" fontId="0" fillId="0" borderId="51" pivotButton="0" quotePrefix="0" xfId="0"/>
    <xf numFmtId="0" fontId="0" fillId="0" borderId="15" pivotButton="0" quotePrefix="0" xfId="0"/>
    <xf numFmtId="0" fontId="0" fillId="0" borderId="50" pivotButton="0" quotePrefix="0" xfId="0"/>
    <xf numFmtId="0" fontId="0" fillId="0" borderId="54" pivotButton="0" quotePrefix="0" xfId="0"/>
    <xf numFmtId="0" fontId="0" fillId="0" borderId="55" pivotButton="0" quotePrefix="0" xfId="0"/>
    <xf numFmtId="0" fontId="0" fillId="0" borderId="56" pivotButton="0" quotePrefix="0" xfId="0"/>
    <xf numFmtId="0" fontId="0" fillId="0" borderId="20" pivotButton="0" quotePrefix="0" xfId="0"/>
    <xf numFmtId="0" fontId="0" fillId="0" borderId="22" pivotButton="0" quotePrefix="0" xfId="0"/>
    <xf numFmtId="0" fontId="4" fillId="14" borderId="1" applyAlignment="1" pivotButton="0" quotePrefix="0" xfId="0">
      <alignment horizontal="center" vertical="center"/>
    </xf>
    <xf numFmtId="0" fontId="6" fillId="4" borderId="1" applyAlignment="1" pivotButton="0" quotePrefix="0" xfId="0">
      <alignment horizontal="general" vertical="center"/>
    </xf>
    <xf numFmtId="0" fontId="6" fillId="4" borderId="1" applyAlignment="1" pivotButton="0" quotePrefix="0" xfId="0">
      <alignment horizontal="general" vertical="center" wrapText="1"/>
    </xf>
    <xf numFmtId="0" fontId="6" fillId="0" borderId="1" applyAlignment="1" pivotButton="0" quotePrefix="0" xfId="0">
      <alignment horizontal="general" vertical="center"/>
    </xf>
    <xf numFmtId="0" fontId="6" fillId="0" borderId="1" applyAlignment="1" pivotButton="0" quotePrefix="0" xfId="0">
      <alignment horizontal="general" vertical="center" wrapText="1"/>
    </xf>
    <xf numFmtId="0" fontId="44" fillId="0" borderId="0" applyAlignment="1" pivotButton="0" quotePrefix="0" xfId="0">
      <alignment horizontal="general" vertical="center" wrapText="1"/>
    </xf>
    <xf numFmtId="0" fontId="6" fillId="0" borderId="0" applyAlignment="1" pivotButton="0" quotePrefix="0" xfId="0">
      <alignment horizontal="general" vertical="center" wrapText="1"/>
    </xf>
    <xf numFmtId="0" fontId="45" fillId="0" borderId="0" applyAlignment="1" pivotButton="0" quotePrefix="0" xfId="0">
      <alignment horizontal="general" vertical="center" wrapText="1"/>
    </xf>
    <xf numFmtId="0" fontId="46" fillId="0" borderId="0" applyAlignment="1" pivotButton="0" quotePrefix="0" xfId="0">
      <alignment horizontal="general" vertical="center" wrapText="1"/>
    </xf>
    <xf numFmtId="0" fontId="47" fillId="0" borderId="0" applyAlignment="1" pivotButton="0" quotePrefix="0" xfId="0">
      <alignment horizontal="general" vertical="center" wrapText="1"/>
    </xf>
    <xf numFmtId="0" fontId="48" fillId="0" borderId="0" applyAlignment="1" pivotButton="0" quotePrefix="0" xfId="0">
      <alignment horizontal="general" vertical="center" wrapText="1"/>
    </xf>
    <xf numFmtId="0" fontId="49" fillId="0" borderId="0" applyAlignment="1" pivotButton="0" quotePrefix="0" xfId="0">
      <alignment horizontal="general" vertical="center" wrapText="1"/>
    </xf>
    <xf numFmtId="0" fontId="50" fillId="0" borderId="0" applyAlignment="1" pivotButton="0" quotePrefix="0" xfId="0">
      <alignment horizontal="general" vertical="center" wrapText="1"/>
    </xf>
    <xf numFmtId="0" fontId="51" fillId="0" borderId="0" applyAlignment="1" pivotButton="0" quotePrefix="0" xfId="0">
      <alignment horizontal="general" vertical="center" wrapText="1"/>
    </xf>
    <xf numFmtId="0" fontId="52" fillId="0"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ill>
        <patternFill patternType="solid">
          <fgColor rgb="FF1B3A5F"/>
          <bgColor rgb="FF000000"/>
        </patternFill>
      </fill>
    </dxf>
    <dxf>
      <fill>
        <patternFill patternType="solid">
          <fgColor rgb="FFF2F4F7"/>
          <bgColor rgb="FF000000"/>
        </patternFill>
      </fill>
    </dxf>
    <dxf>
      <fill>
        <patternFill patternType="solid">
          <bgColor rgb="FF000000"/>
        </patternFill>
      </fill>
    </dxf>
    <dxf>
      <fill>
        <patternFill patternType="solid">
          <fgColor rgb="FF1E293B"/>
          <bgColor rgb="FF000000"/>
        </patternFill>
      </fill>
    </dxf>
    <dxf>
      <fill>
        <patternFill patternType="solid">
          <fgColor rgb="FFFFFFFF"/>
          <bgColor rgb="FF000000"/>
        </patternFill>
      </fill>
    </dxf>
    <dxf>
      <fill>
        <patternFill patternType="solid">
          <fgColor rgb="FFFEE2E2"/>
          <bgColor rgb="FF000000"/>
        </patternFill>
      </fill>
    </dxf>
    <dxf>
      <fill>
        <patternFill patternType="solid">
          <fgColor rgb="FF991B1B"/>
          <bgColor rgb="FF000000"/>
        </patternFill>
      </fill>
    </dxf>
    <dxf>
      <fill>
        <patternFill patternType="solid">
          <fgColor rgb="FF0000FF"/>
          <bgColor rgb="FF000000"/>
        </patternFill>
      </fill>
    </dxf>
    <dxf>
      <font>
        <b val="1"/>
        <color rgb="FF991B1B"/>
      </font>
      <fill>
        <patternFill>
          <bgColor rgb="FFFEE2E2"/>
        </patternFill>
      </fill>
    </dxf>
    <dxf>
      <font>
        <b val="1"/>
        <color rgb="FF166534"/>
      </font>
      <fill>
        <patternFill>
          <bgColor rgb="FFDCFCE7"/>
        </patternFill>
      </fill>
    </dxf>
    <dxf>
      <fill>
        <patternFill patternType="solid">
          <fgColor rgb="FF2563EB"/>
          <bgColor rgb="FF000000"/>
        </patternFill>
      </fill>
    </dxf>
    <dxf>
      <fill>
        <patternFill patternType="solid">
          <fgColor rgb="FFCCFBF1"/>
          <bgColor rgb="FF000000"/>
        </patternFill>
      </fill>
    </dxf>
    <dxf>
      <fill>
        <patternFill patternType="solid">
          <fgColor rgb="FFDBEAFE"/>
          <bgColor rgb="FF000000"/>
        </patternFill>
      </fill>
    </dxf>
    <dxf>
      <fill>
        <patternFill patternType="solid">
          <fgColor rgb="FFEDE9FE"/>
          <bgColor rgb="FF000000"/>
        </patternFill>
      </fill>
    </dxf>
    <dxf>
      <fill>
        <patternFill patternType="solid">
          <fgColor rgb="FF065F46"/>
          <bgColor rgb="FF000000"/>
        </patternFill>
      </fill>
    </dxf>
    <dxf>
      <fill>
        <patternFill patternType="solid">
          <fgColor rgb="FF1E40AF"/>
          <bgColor rgb="FF000000"/>
        </patternFill>
      </fill>
    </dxf>
    <dxf>
      <fill>
        <patternFill patternType="solid">
          <fgColor rgb="FF5B21B6"/>
          <bgColor rgb="FF000000"/>
        </patternFill>
      </fill>
    </dxf>
    <dxf>
      <fill>
        <patternFill patternType="solid">
          <fgColor rgb="FFDCFCE7"/>
          <bgColor rgb="FF000000"/>
        </patternFill>
      </fill>
    </dxf>
    <dxf>
      <fill>
        <patternFill patternType="solid">
          <fgColor rgb="FFFFEDD5"/>
          <bgColor rgb="FF000000"/>
        </patternFill>
      </fill>
    </dxf>
    <dxf>
      <fill>
        <patternFill patternType="solid">
          <fgColor rgb="FF166534"/>
          <bgColor rgb="FF000000"/>
        </patternFill>
      </fill>
    </dxf>
    <dxf>
      <fill>
        <patternFill patternType="solid">
          <fgColor rgb="FF9A3412"/>
          <bgColor rgb="FF000000"/>
        </patternFill>
      </fill>
    </dxf>
    <dxf>
      <font>
        <b val="1"/>
        <color rgb="FF166534"/>
      </font>
      <fill>
        <patternFill>
          <bgColor rgb="FFDCFCE7"/>
        </patternFill>
      </fill>
    </dxf>
    <dxf>
      <font>
        <b val="1"/>
        <color rgb="FF991B1B"/>
      </font>
      <fill>
        <patternFill>
          <bgColor rgb="FFFEE2E2"/>
        </patternFill>
      </fill>
    </dxf>
    <dxf>
      <font>
        <b val="1"/>
        <color rgb="FF9A3412"/>
      </font>
      <fill>
        <patternFill>
          <bgColor rgb="FFFFEDD5"/>
        </patternFill>
      </fill>
    </dxf>
    <dxf>
      <font>
        <b val="1"/>
        <color rgb="FF166534"/>
        <sz val="8"/>
      </font>
      <fill>
        <patternFill>
          <bgColor rgb="FFDCFCE7"/>
        </patternFill>
      </fill>
    </dxf>
    <dxf>
      <fill>
        <patternFill patternType="solid">
          <fgColor rgb="FF0D9488"/>
          <bgColor rgb="FF000000"/>
        </patternFill>
      </fill>
    </dxf>
    <dxf>
      <font>
        <b val="1"/>
        <color rgb="00991B1B"/>
      </font>
      <fill>
        <patternFill patternType="solid">
          <fgColor rgb="00FEE2E2"/>
        </patternFill>
      </fill>
    </dxf>
    <dxf>
      <font>
        <b val="1"/>
        <color rgb="00166534"/>
      </font>
      <fill>
        <patternFill patternType="solid">
          <fgColor rgb="00DCFCE7"/>
        </patternFill>
      </fill>
    </dxf>
  </dxfs>
  <colors>
    <indexedColors>
      <rgbColor rgb="FF000000"/>
      <rgbColor rgb="FFFFFFFF"/>
      <rgbColor rgb="FFDC2626"/>
      <rgbColor rgb="FF00FF00"/>
      <rgbColor rgb="FF0000FF"/>
      <rgbColor rgb="FFFFEDD5"/>
      <rgbColor rgb="FFFF00FF"/>
      <rgbColor rgb="FF00FFFF"/>
      <rgbColor rgb="FF7F1D1D"/>
      <rgbColor rgb="FF166534"/>
      <rgbColor rgb="FF2E4057"/>
      <rgbColor rgb="FF808000"/>
      <rgbColor rgb="FF5B21B6"/>
      <rgbColor rgb="FF0D9488"/>
      <rgbColor rgb="FFCFD8DC"/>
      <rgbColor rgb="FF546E7A"/>
      <rgbColor rgb="FFDBEAFE"/>
      <rgbColor rgb="FFBE123C"/>
      <rgbColor rgb="FFFFF8E1"/>
      <rgbColor rgb="FFCCFBF1"/>
      <rgbColor rgb="FF4A1D96"/>
      <rgbColor rgb="FFEDE9FE"/>
      <rgbColor rgb="FF475569"/>
      <rgbColor rgb="FFD0D5DD"/>
      <rgbColor rgb="FF000080"/>
      <rgbColor rgb="FFFF00FF"/>
      <rgbColor rgb="FFECEFF1"/>
      <rgbColor rgb="FF00FFFF"/>
      <rgbColor rgb="FF6D28D9"/>
      <rgbColor rgb="FF991B1B"/>
      <rgbColor rgb="FF065F46"/>
      <rgbColor rgb="FF7C3AED"/>
      <rgbColor rgb="FF00CCFF"/>
      <rgbColor rgb="FFDCFCE7"/>
      <rgbColor rgb="FFD1FAE5"/>
      <rgbColor rgb="FFFEF3C7"/>
      <rgbColor rgb="FFD6E4F0"/>
      <rgbColor rgb="FFFCE4EC"/>
      <rgbColor rgb="FFE8E0F0"/>
      <rgbColor rgb="FFFEE2E2"/>
      <rgbColor rgb="FF2563EB"/>
      <rgbColor rgb="FF33CCCC"/>
      <rgbColor rgb="FFF0F1F3"/>
      <rgbColor rgb="FFE2E8F0"/>
      <rgbColor rgb="FFF2F4F7"/>
      <rgbColor rgb="FFD97706"/>
      <rgbColor rgb="FF64748B"/>
      <rgbColor rgb="FF90A4AE"/>
      <rgbColor rgb="FF1B3A5F"/>
      <rgbColor rgb="FF339966"/>
      <rgbColor rgb="FF1E3A5F"/>
      <rgbColor rgb="FF1E293B"/>
      <rgbColor rgb="FF9A3412"/>
      <rgbColor rgb="FF5D4037"/>
      <rgbColor rgb="FF1E40AF"/>
      <rgbColor rgb="FF2D3748"/>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1B3A5F"/>
    <outlinePr summaryBelow="1" summaryRight="1"/>
    <pageSetUpPr fitToPage="0"/>
  </sheetPr>
  <dimension ref="A1:S64"/>
  <sheetViews>
    <sheetView showFormulas="0" showGridLines="1" showRowColHeaders="1" showZeros="1" rightToLeft="0" tabSelected="1"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5" customWidth="1" style="106" min="1" max="1"/>
    <col width="6" customWidth="1" style="106" min="2" max="2"/>
    <col width="8" customWidth="1" style="106" min="3" max="4"/>
    <col width="32" customWidth="1" style="106" min="5" max="5"/>
    <col width="20" customWidth="1" style="106" min="6" max="6"/>
    <col width="14" customWidth="1" style="106" min="7" max="7"/>
    <col width="15" customWidth="1" style="106" min="8" max="9"/>
    <col width="12" customWidth="1" style="106" min="10" max="11"/>
    <col width="11" customWidth="1" style="106" min="12" max="12"/>
    <col width="9" customWidth="1" style="106" min="13" max="13"/>
    <col width="12" customWidth="1" style="106" min="14" max="14"/>
    <col width="15" customWidth="1" style="106" min="15" max="15"/>
    <col hidden="1" width="13" customWidth="1" style="106" min="18" max="18"/>
    <col width="10" customWidth="1" style="106" min="19" max="19"/>
  </cols>
  <sheetData>
    <row r="1" ht="30" customHeight="1" s="107">
      <c r="A1" s="108" t="inlineStr">
        <is>
          <t>ID</t>
        </is>
      </c>
      <c r="B1" s="108" t="inlineStr">
        <is>
          <t>Day</t>
        </is>
      </c>
      <c r="C1" s="108" t="inlineStr">
        <is>
          <t>Start</t>
        </is>
      </c>
      <c r="D1" s="108" t="inlineStr">
        <is>
          <t>End</t>
        </is>
      </c>
      <c r="E1" s="108" t="inlineStr">
        <is>
          <t>Title</t>
        </is>
      </c>
      <c r="F1" s="108" t="inlineStr">
        <is>
          <t>Lead</t>
        </is>
      </c>
      <c r="G1" s="108" t="inlineStr">
        <is>
          <t>Room</t>
        </is>
      </c>
      <c r="H1" s="108" t="inlineStr">
        <is>
          <t>Type</t>
        </is>
      </c>
      <c r="I1" s="108" t="inlineStr">
        <is>
          <t>Track</t>
        </is>
      </c>
      <c r="J1" s="108" t="inlineStr">
        <is>
          <t>Capacity</t>
        </is>
      </c>
      <c r="K1" s="108" t="inlineStr">
        <is>
          <t>Expected
Participants</t>
        </is>
      </c>
      <c r="R1" s="106" t="inlineStr">
        <is>
          <t>Tracks (auto)</t>
        </is>
      </c>
      <c r="S1" s="109" t="inlineStr">
        <is>
          <t>Room
Check</t>
        </is>
      </c>
    </row>
    <row r="2" ht="15" customHeight="1" s="107">
      <c r="A2" s="110" t="n">
        <v>1</v>
      </c>
      <c r="B2" s="110" t="n">
        <v>1</v>
      </c>
      <c r="C2" s="111" t="inlineStr">
        <is>
          <t>09:00</t>
        </is>
      </c>
      <c r="D2" s="111" t="inlineStr">
        <is>
          <t>10:00</t>
        </is>
      </c>
      <c r="E2" s="112" t="inlineStr">
        <is>
          <t>Opening Keynote</t>
        </is>
      </c>
      <c r="F2" s="113" t="inlineStr">
        <is>
          <t>Dr. Sarah Chen</t>
        </is>
      </c>
      <c r="G2" s="113" t="inlineStr">
        <is>
          <t>Main Hall</t>
        </is>
      </c>
      <c r="H2" s="113" t="inlineStr">
        <is>
          <t>Keynote</t>
        </is>
      </c>
      <c r="I2" s="113" t="inlineStr">
        <is>
          <t>all</t>
        </is>
      </c>
      <c r="J2" s="114" t="n">
        <v>200</v>
      </c>
      <c r="K2" s="114" t="n">
        <v>140</v>
      </c>
      <c r="R2" s="106">
        <f>sort(unique(filter(I2:I200,LOWER(I2:I200)&lt;&gt;"all")))</f>
        <v/>
      </c>
      <c r="S2" s="115">
        <f>IF(OR(G2="",B2="",C2=""),"",IF(SUMPRODUCT(('Room Management'!$A$4:$A$103="D"&amp;B2)*('Room Management'!$B$4:$B$103=C2)*(INDEX('Room Management'!$C$4:$M$103,0,MATCH(G2,'Room Management'!$C$2:$M$2,0))&lt;&gt;""))&gt;0,"OK","CONFLICT"))</f>
        <v/>
      </c>
    </row>
    <row r="3" ht="15" customHeight="1" s="107">
      <c r="A3" s="116" t="n">
        <v>2</v>
      </c>
      <c r="B3" s="116" t="n">
        <v>1</v>
      </c>
      <c r="C3" s="117" t="inlineStr">
        <is>
          <t>10:30</t>
        </is>
      </c>
      <c r="D3" s="117" t="inlineStr">
        <is>
          <t>12:00</t>
        </is>
      </c>
      <c r="E3" s="118" t="inlineStr">
        <is>
          <t>Leading Through Change</t>
        </is>
      </c>
      <c r="F3" s="119" t="inlineStr">
        <is>
          <t>Mark Torres</t>
        </is>
      </c>
      <c r="G3" s="119" t="inlineStr">
        <is>
          <t>Room A1</t>
        </is>
      </c>
      <c r="H3" s="119" t="inlineStr">
        <is>
          <t>Leadership</t>
        </is>
      </c>
      <c r="I3" s="119" t="inlineStr">
        <is>
          <t>Leadership</t>
        </is>
      </c>
      <c r="J3" s="114" t="n">
        <v>40</v>
      </c>
      <c r="K3" s="114" t="n">
        <v>28</v>
      </c>
      <c r="S3" s="115">
        <f>IF(OR(G3="",B3="",C3=""),"",IF(SUMPRODUCT(('Room Management'!$A$4:$A$103="D"&amp;B3)*('Room Management'!$B$4:$B$103=C3)*(INDEX('Room Management'!$C$4:$M$103,0,MATCH(G3,'Room Management'!$C$2:$M$2,0))&lt;&gt;""))&gt;0,"OK","CONFLICT"))</f>
        <v/>
      </c>
    </row>
    <row r="4" ht="15" customHeight="1" s="107">
      <c r="A4" s="110" t="n">
        <v>3</v>
      </c>
      <c r="B4" s="110" t="n">
        <v>1</v>
      </c>
      <c r="C4" s="111" t="inlineStr">
        <is>
          <t>10:30</t>
        </is>
      </c>
      <c r="D4" s="111" t="inlineStr">
        <is>
          <t>12:00</t>
        </is>
      </c>
      <c r="E4" s="112" t="inlineStr">
        <is>
          <t>API Design Patterns</t>
        </is>
      </c>
      <c r="F4" s="113" t="inlineStr">
        <is>
          <t>Priya Sharma</t>
        </is>
      </c>
      <c r="G4" s="113" t="inlineStr">
        <is>
          <t>Room B1</t>
        </is>
      </c>
      <c r="H4" s="113" t="inlineStr">
        <is>
          <t>Technical</t>
        </is>
      </c>
      <c r="I4" s="113" t="inlineStr">
        <is>
          <t>Technical</t>
        </is>
      </c>
      <c r="J4" s="114" t="n">
        <v>45</v>
      </c>
      <c r="K4" s="114" t="n">
        <v>31</v>
      </c>
      <c r="S4" s="115">
        <f>IF(OR(G4="",B4="",C4=""),"",IF(SUMPRODUCT(('Room Management'!$A$4:$A$103="D"&amp;B4)*('Room Management'!$B$4:$B$103=C4)*(INDEX('Room Management'!$C$4:$M$103,0,MATCH(G4,'Room Management'!$C$2:$M$2,0))&lt;&gt;""))&gt;0,"OK","CONFLICT"))</f>
        <v/>
      </c>
    </row>
    <row r="5" ht="15" customHeight="1" s="107">
      <c r="A5" s="116" t="n">
        <v>4</v>
      </c>
      <c r="B5" s="116" t="n">
        <v>1</v>
      </c>
      <c r="C5" s="117" t="inlineStr">
        <is>
          <t>10:30</t>
        </is>
      </c>
      <c r="D5" s="117" t="inlineStr">
        <is>
          <t>12:00</t>
        </is>
      </c>
      <c r="E5" s="118" t="inlineStr">
        <is>
          <t>Empathy Mapping 101</t>
        </is>
      </c>
      <c r="F5" s="119" t="inlineStr">
        <is>
          <t>Lena Müller</t>
        </is>
      </c>
      <c r="G5" s="119" t="inlineStr">
        <is>
          <t>Room C1</t>
        </is>
      </c>
      <c r="H5" s="119" t="inlineStr">
        <is>
          <t>Design Thinking</t>
        </is>
      </c>
      <c r="I5" s="119" t="inlineStr">
        <is>
          <t>Design Thinking</t>
        </is>
      </c>
      <c r="J5" s="114" t="n">
        <v>35</v>
      </c>
      <c r="K5" s="114" t="n">
        <v>24</v>
      </c>
      <c r="S5" s="115">
        <f>IF(OR(G5="",B5="",C5=""),"",IF(SUMPRODUCT(('Room Management'!$A$4:$A$103="D"&amp;B5)*('Room Management'!$B$4:$B$103=C5)*(INDEX('Room Management'!$C$4:$M$103,0,MATCH(G5,'Room Management'!$C$2:$M$2,0))&lt;&gt;""))&gt;0,"OK","CONFLICT"))</f>
        <v/>
      </c>
    </row>
    <row r="6" ht="15" customHeight="1" s="107">
      <c r="A6" s="110" t="n">
        <v>5</v>
      </c>
      <c r="B6" s="110" t="n">
        <v>1</v>
      </c>
      <c r="C6" s="111" t="inlineStr">
        <is>
          <t>10:30</t>
        </is>
      </c>
      <c r="D6" s="111" t="inlineStr">
        <is>
          <t>12:00</t>
        </is>
      </c>
      <c r="E6" s="112" t="inlineStr">
        <is>
          <t>Lean Process Improvement</t>
        </is>
      </c>
      <c r="F6" s="113" t="inlineStr">
        <is>
          <t>James Wright</t>
        </is>
      </c>
      <c r="G6" s="113" t="inlineStr">
        <is>
          <t>Room D1</t>
        </is>
      </c>
      <c r="H6" s="113" t="inlineStr">
        <is>
          <t>Operations</t>
        </is>
      </c>
      <c r="I6" s="113" t="inlineStr">
        <is>
          <t>Operations</t>
        </is>
      </c>
      <c r="J6" s="114" t="n">
        <v>30</v>
      </c>
      <c r="K6" s="114" t="n">
        <v>21</v>
      </c>
      <c r="S6" s="115">
        <f>IF(OR(G6="",B6="",C6=""),"",IF(SUMPRODUCT(('Room Management'!$A$4:$A$103="D"&amp;B6)*('Room Management'!$B$4:$B$103=C6)*(INDEX('Room Management'!$C$4:$M$103,0,MATCH(G6,'Room Management'!$C$2:$M$2,0))&lt;&gt;""))&gt;0,"OK","CONFLICT"))</f>
        <v/>
      </c>
    </row>
    <row r="7" ht="15" customHeight="1" s="107">
      <c r="A7" s="116" t="n">
        <v>6</v>
      </c>
      <c r="B7" s="116" t="n">
        <v>1</v>
      </c>
      <c r="C7" s="117" t="inlineStr">
        <is>
          <t>12:00</t>
        </is>
      </c>
      <c r="D7" s="117" t="inlineStr">
        <is>
          <t>13:00</t>
        </is>
      </c>
      <c r="E7" s="118" t="inlineStr">
        <is>
          <t>Lunch &amp; Networking</t>
        </is>
      </c>
      <c r="F7" s="119" t="n"/>
      <c r="G7" s="119" t="inlineStr">
        <is>
          <t>Atrium</t>
        </is>
      </c>
      <c r="H7" s="119" t="inlineStr">
        <is>
          <t>Break</t>
        </is>
      </c>
      <c r="I7" s="119" t="inlineStr">
        <is>
          <t>all</t>
        </is>
      </c>
      <c r="J7" s="114" t="n">
        <v>200</v>
      </c>
      <c r="K7" s="114" t="n">
        <v>200</v>
      </c>
      <c r="S7" s="115">
        <f>IF(OR(G7="",B7="",C7=""),"",IF(SUMPRODUCT(('Room Management'!$A$4:$A$103="D"&amp;B7)*('Room Management'!$B$4:$B$103=C7)*(INDEX('Room Management'!$C$4:$M$103,0,MATCH(G7,'Room Management'!$C$2:$M$2,0))&lt;&gt;""))&gt;0,"OK","CONFLICT"))</f>
        <v/>
      </c>
    </row>
    <row r="8" ht="15" customHeight="1" s="107">
      <c r="A8" s="110" t="n">
        <v>7</v>
      </c>
      <c r="B8" s="110" t="n">
        <v>1</v>
      </c>
      <c r="C8" s="111" t="inlineStr">
        <is>
          <t>13:00</t>
        </is>
      </c>
      <c r="D8" s="111" t="inlineStr">
        <is>
          <t>14:30</t>
        </is>
      </c>
      <c r="E8" s="112" t="inlineStr">
        <is>
          <t>Stakeholder Alignment</t>
        </is>
      </c>
      <c r="F8" s="113" t="inlineStr">
        <is>
          <t>Aisha Johnson</t>
        </is>
      </c>
      <c r="G8" s="113" t="inlineStr">
        <is>
          <t>Room A1</t>
        </is>
      </c>
      <c r="H8" s="113" t="inlineStr">
        <is>
          <t>Leadership</t>
        </is>
      </c>
      <c r="I8" s="113" t="inlineStr">
        <is>
          <t>Leadership</t>
        </is>
      </c>
      <c r="J8" s="114" t="n">
        <v>40</v>
      </c>
      <c r="K8" s="114" t="n">
        <v>28</v>
      </c>
      <c r="S8" s="115">
        <f>IF(OR(G8="",B8="",C8=""),"",IF(SUMPRODUCT(('Room Management'!$A$4:$A$103="D"&amp;B8)*('Room Management'!$B$4:$B$103=C8)*(INDEX('Room Management'!$C$4:$M$103,0,MATCH(G8,'Room Management'!$C$2:$M$2,0))&lt;&gt;""))&gt;0,"OK","CONFLICT"))</f>
        <v/>
      </c>
    </row>
    <row r="9" ht="15" customHeight="1" s="107">
      <c r="A9" s="116" t="n">
        <v>8</v>
      </c>
      <c r="B9" s="116" t="n">
        <v>1</v>
      </c>
      <c r="C9" s="117" t="inlineStr">
        <is>
          <t>13:00</t>
        </is>
      </c>
      <c r="D9" s="117" t="inlineStr">
        <is>
          <t>14:30</t>
        </is>
      </c>
      <c r="E9" s="118" t="inlineStr">
        <is>
          <t>Cloud Infrastructure</t>
        </is>
      </c>
      <c r="F9" s="119" t="inlineStr">
        <is>
          <t>David Kim</t>
        </is>
      </c>
      <c r="G9" s="119" t="inlineStr">
        <is>
          <t>Room B1</t>
        </is>
      </c>
      <c r="H9" s="119" t="inlineStr">
        <is>
          <t>Technical</t>
        </is>
      </c>
      <c r="I9" s="119" t="inlineStr">
        <is>
          <t>Technical</t>
        </is>
      </c>
      <c r="J9" s="114" t="n">
        <v>50</v>
      </c>
      <c r="K9" s="114" t="n">
        <v>35</v>
      </c>
      <c r="S9" s="115">
        <f>IF(OR(G9="",B9="",C9=""),"",IF(SUMPRODUCT(('Room Management'!$A$4:$A$103="D"&amp;B9)*('Room Management'!$B$4:$B$103=C9)*(INDEX('Room Management'!$C$4:$M$103,0,MATCH(G9,'Room Management'!$C$2:$M$2,0))&lt;&gt;""))&gt;0,"OK","CONFLICT"))</f>
        <v/>
      </c>
    </row>
    <row r="10" ht="15" customHeight="1" s="107">
      <c r="A10" s="110" t="n">
        <v>9</v>
      </c>
      <c r="B10" s="110" t="n">
        <v>1</v>
      </c>
      <c r="C10" s="111" t="inlineStr">
        <is>
          <t>13:00</t>
        </is>
      </c>
      <c r="D10" s="111" t="inlineStr">
        <is>
          <t>14:30</t>
        </is>
      </c>
      <c r="E10" s="112" t="inlineStr">
        <is>
          <t>Prototyping Sprint</t>
        </is>
      </c>
      <c r="F10" s="113" t="inlineStr">
        <is>
          <t>Carlos Ruiz</t>
        </is>
      </c>
      <c r="G10" s="113" t="inlineStr">
        <is>
          <t>Room C1</t>
        </is>
      </c>
      <c r="H10" s="113" t="inlineStr">
        <is>
          <t>Design Thinking</t>
        </is>
      </c>
      <c r="I10" s="113" t="inlineStr">
        <is>
          <t>Design Thinking</t>
        </is>
      </c>
      <c r="J10" s="114" t="n">
        <v>35</v>
      </c>
      <c r="K10" s="114" t="n">
        <v>24</v>
      </c>
      <c r="S10" s="115">
        <f>IF(OR(G10="",B10="",C10=""),"",IF(SUMPRODUCT(('Room Management'!$A$4:$A$103="D"&amp;B10)*('Room Management'!$B$4:$B$103=C10)*(INDEX('Room Management'!$C$4:$M$103,0,MATCH(G10,'Room Management'!$C$2:$M$2,0))&lt;&gt;""))&gt;0,"OK","CONFLICT"))</f>
        <v/>
      </c>
    </row>
    <row r="11" ht="15" customHeight="1" s="107">
      <c r="A11" s="116" t="n">
        <v>10</v>
      </c>
      <c r="B11" s="116" t="n">
        <v>1</v>
      </c>
      <c r="C11" s="117" t="inlineStr">
        <is>
          <t>13:00</t>
        </is>
      </c>
      <c r="D11" s="117" t="inlineStr">
        <is>
          <t>14:30</t>
        </is>
      </c>
      <c r="E11" s="118" t="inlineStr">
        <is>
          <t>Risk Assessment</t>
        </is>
      </c>
      <c r="F11" s="119" t="inlineStr">
        <is>
          <t>Nina Petrov</t>
        </is>
      </c>
      <c r="G11" s="119" t="inlineStr">
        <is>
          <t>Room D1</t>
        </is>
      </c>
      <c r="H11" s="119" t="inlineStr">
        <is>
          <t>Operations</t>
        </is>
      </c>
      <c r="I11" s="119" t="inlineStr">
        <is>
          <t>Operations</t>
        </is>
      </c>
      <c r="J11" s="114" t="n">
        <v>30</v>
      </c>
      <c r="K11" s="114" t="n">
        <v>21</v>
      </c>
      <c r="S11" s="115">
        <f>IF(OR(G11="",B11="",C11=""),"",IF(SUMPRODUCT(('Room Management'!$A$4:$A$103="D"&amp;B11)*('Room Management'!$B$4:$B$103=C11)*(INDEX('Room Management'!$C$4:$M$103,0,MATCH(G11,'Room Management'!$C$2:$M$2,0))&lt;&gt;""))&gt;0,"OK","CONFLICT"))</f>
        <v/>
      </c>
    </row>
    <row r="12" ht="15" customHeight="1" s="107">
      <c r="A12" s="110" t="n">
        <v>11</v>
      </c>
      <c r="B12" s="110" t="n">
        <v>1</v>
      </c>
      <c r="C12" s="111" t="inlineStr">
        <is>
          <t>14:30</t>
        </is>
      </c>
      <c r="D12" s="111" t="inlineStr">
        <is>
          <t>15:00</t>
        </is>
      </c>
      <c r="E12" s="112" t="inlineStr">
        <is>
          <t>Afternoon Break</t>
        </is>
      </c>
      <c r="F12" s="113" t="n"/>
      <c r="G12" s="113" t="inlineStr">
        <is>
          <t>Atrium</t>
        </is>
      </c>
      <c r="H12" s="113" t="inlineStr">
        <is>
          <t>Break</t>
        </is>
      </c>
      <c r="I12" s="113" t="inlineStr">
        <is>
          <t>all</t>
        </is>
      </c>
      <c r="J12" s="114" t="n">
        <v>200</v>
      </c>
      <c r="K12" s="114" t="n">
        <v>200</v>
      </c>
      <c r="S12" s="115">
        <f>IF(OR(G12="",B12="",C12=""),"",IF(SUMPRODUCT(('Room Management'!$A$4:$A$103="D"&amp;B12)*('Room Management'!$B$4:$B$103=C12)*(INDEX('Room Management'!$C$4:$M$103,0,MATCH(G12,'Room Management'!$C$2:$M$2,0))&lt;&gt;""))&gt;0,"OK","CONFLICT"))</f>
        <v/>
      </c>
    </row>
    <row r="13" ht="15" customHeight="1" s="107">
      <c r="A13" s="116" t="n">
        <v>12</v>
      </c>
      <c r="B13" s="116" t="n">
        <v>1</v>
      </c>
      <c r="C13" s="117" t="inlineStr">
        <is>
          <t>15:00</t>
        </is>
      </c>
      <c r="D13" s="117" t="inlineStr">
        <is>
          <t>16:30</t>
        </is>
      </c>
      <c r="E13" s="118" t="inlineStr">
        <is>
          <t>Feedback Culture</t>
        </is>
      </c>
      <c r="F13" s="119" t="inlineStr">
        <is>
          <t>Tom Bradley</t>
        </is>
      </c>
      <c r="G13" s="119" t="inlineStr">
        <is>
          <t>Room A1</t>
        </is>
      </c>
      <c r="H13" s="119" t="inlineStr">
        <is>
          <t>Leadership</t>
        </is>
      </c>
      <c r="I13" s="119" t="inlineStr">
        <is>
          <t>Leadership</t>
        </is>
      </c>
      <c r="J13" s="114" t="n">
        <v>38</v>
      </c>
      <c r="K13" s="114" t="n">
        <v>26</v>
      </c>
      <c r="S13" s="115">
        <f>IF(OR(G13="",B13="",C13=""),"",IF(SUMPRODUCT(('Room Management'!$A$4:$A$103="D"&amp;B13)*('Room Management'!$B$4:$B$103=C13)*(INDEX('Room Management'!$C$4:$M$103,0,MATCH(G13,'Room Management'!$C$2:$M$2,0))&lt;&gt;""))&gt;0,"OK","CONFLICT"))</f>
        <v/>
      </c>
    </row>
    <row r="14" ht="15" customHeight="1" s="107">
      <c r="A14" s="110" t="n">
        <v>13</v>
      </c>
      <c r="B14" s="110" t="n">
        <v>1</v>
      </c>
      <c r="C14" s="111" t="inlineStr">
        <is>
          <t>15:00</t>
        </is>
      </c>
      <c r="D14" s="111" t="inlineStr">
        <is>
          <t>16:30</t>
        </is>
      </c>
      <c r="E14" s="112" t="inlineStr">
        <is>
          <t>Data Pipeline Design</t>
        </is>
      </c>
      <c r="F14" s="113" t="inlineStr">
        <is>
          <t>Wei Zhang</t>
        </is>
      </c>
      <c r="G14" s="113" t="inlineStr">
        <is>
          <t>Room B1</t>
        </is>
      </c>
      <c r="H14" s="113" t="inlineStr">
        <is>
          <t>Technical</t>
        </is>
      </c>
      <c r="I14" s="113" t="inlineStr">
        <is>
          <t>Technical</t>
        </is>
      </c>
      <c r="J14" s="114" t="n">
        <v>42</v>
      </c>
      <c r="K14" s="114" t="n">
        <v>29</v>
      </c>
      <c r="S14" s="115">
        <f>IF(OR(G14="",B14="",C14=""),"",IF(SUMPRODUCT(('Room Management'!$A$4:$A$103="D"&amp;B14)*('Room Management'!$B$4:$B$103=C14)*(INDEX('Room Management'!$C$4:$M$103,0,MATCH(G14,'Room Management'!$C$2:$M$2,0))&lt;&gt;""))&gt;0,"OK","CONFLICT"))</f>
        <v/>
      </c>
    </row>
    <row r="15" ht="15" customHeight="1" s="107">
      <c r="A15" s="116" t="n">
        <v>14</v>
      </c>
      <c r="B15" s="116" t="n">
        <v>1</v>
      </c>
      <c r="C15" s="117" t="inlineStr">
        <is>
          <t>15:00</t>
        </is>
      </c>
      <c r="D15" s="117" t="inlineStr">
        <is>
          <t>16:30</t>
        </is>
      </c>
      <c r="E15" s="118" t="inlineStr">
        <is>
          <t>Service Blueprinting</t>
        </is>
      </c>
      <c r="F15" s="119" t="inlineStr">
        <is>
          <t>Lena Müller</t>
        </is>
      </c>
      <c r="G15" s="119" t="inlineStr">
        <is>
          <t>Room C1</t>
        </is>
      </c>
      <c r="H15" s="119" t="inlineStr">
        <is>
          <t>Design Thinking</t>
        </is>
      </c>
      <c r="I15" s="119" t="inlineStr">
        <is>
          <t>Design Thinking</t>
        </is>
      </c>
      <c r="J15" s="114" t="n">
        <v>32</v>
      </c>
      <c r="K15" s="114" t="n">
        <v>22</v>
      </c>
      <c r="S15" s="115">
        <f>IF(OR(G15="",B15="",C15=""),"",IF(SUMPRODUCT(('Room Management'!$A$4:$A$103="D"&amp;B15)*('Room Management'!$B$4:$B$103=C15)*(INDEX('Room Management'!$C$4:$M$103,0,MATCH(G15,'Room Management'!$C$2:$M$2,0))&lt;&gt;""))&gt;0,"OK","CONFLICT"))</f>
        <v/>
      </c>
    </row>
    <row r="16" ht="15" customHeight="1" s="107">
      <c r="A16" s="110" t="n">
        <v>15</v>
      </c>
      <c r="B16" s="110" t="n">
        <v>1</v>
      </c>
      <c r="C16" s="111" t="inlineStr">
        <is>
          <t>15:00</t>
        </is>
      </c>
      <c r="D16" s="111" t="inlineStr">
        <is>
          <t>16:30</t>
        </is>
      </c>
      <c r="E16" s="112" t="inlineStr">
        <is>
          <t>Agile Ceremonies</t>
        </is>
      </c>
      <c r="F16" s="113" t="inlineStr">
        <is>
          <t>Rachel Green</t>
        </is>
      </c>
      <c r="G16" s="113" t="inlineStr">
        <is>
          <t>Room D1</t>
        </is>
      </c>
      <c r="H16" s="113" t="inlineStr">
        <is>
          <t>Operations</t>
        </is>
      </c>
      <c r="I16" s="113" t="inlineStr">
        <is>
          <t>Operations</t>
        </is>
      </c>
      <c r="J16" s="114" t="n">
        <v>28</v>
      </c>
      <c r="K16" s="114" t="n">
        <v>19</v>
      </c>
      <c r="S16" s="115">
        <f>IF(OR(G16="",B16="",C16=""),"",IF(SUMPRODUCT(('Room Management'!$A$4:$A$103="D"&amp;B16)*('Room Management'!$B$4:$B$103=C16)*(INDEX('Room Management'!$C$4:$M$103,0,MATCH(G16,'Room Management'!$C$2:$M$2,0))&lt;&gt;""))&gt;0,"OK","CONFLICT"))</f>
        <v/>
      </c>
    </row>
    <row r="17" ht="15" customHeight="1" s="107">
      <c r="A17" s="116" t="n">
        <v>16</v>
      </c>
      <c r="B17" s="116" t="n">
        <v>2</v>
      </c>
      <c r="C17" s="117" t="inlineStr">
        <is>
          <t>09:00</t>
        </is>
      </c>
      <c r="D17" s="117" t="inlineStr">
        <is>
          <t>10:30</t>
        </is>
      </c>
      <c r="E17" s="118" t="inlineStr">
        <is>
          <t>Emotional Intelligence</t>
        </is>
      </c>
      <c r="F17" s="119" t="inlineStr">
        <is>
          <t>Aisha Johnson</t>
        </is>
      </c>
      <c r="G17" s="119" t="inlineStr">
        <is>
          <t>Room A1</t>
        </is>
      </c>
      <c r="H17" s="119" t="inlineStr">
        <is>
          <t>Leadership</t>
        </is>
      </c>
      <c r="I17" s="119" t="inlineStr">
        <is>
          <t>Leadership</t>
        </is>
      </c>
      <c r="J17" s="114" t="n">
        <v>40</v>
      </c>
      <c r="K17" s="114" t="n">
        <v>28</v>
      </c>
      <c r="S17" s="115">
        <f>IF(OR(G17="",B17="",C17=""),"",IF(SUMPRODUCT(('Room Management'!$A$4:$A$103="D"&amp;B17)*('Room Management'!$B$4:$B$103=C17)*(INDEX('Room Management'!$C$4:$M$103,0,MATCH(G17,'Room Management'!$C$2:$M$2,0))&lt;&gt;""))&gt;0,"OK","CONFLICT"))</f>
        <v/>
      </c>
    </row>
    <row r="18" ht="15" customHeight="1" s="107">
      <c r="A18" s="110" t="n">
        <v>17</v>
      </c>
      <c r="B18" s="110" t="n">
        <v>2</v>
      </c>
      <c r="C18" s="111" t="inlineStr">
        <is>
          <t>09:00</t>
        </is>
      </c>
      <c r="D18" s="111" t="inlineStr">
        <is>
          <t>10:30</t>
        </is>
      </c>
      <c r="E18" s="112" t="inlineStr">
        <is>
          <t>Security Fundamentals</t>
        </is>
      </c>
      <c r="F18" s="113" t="inlineStr">
        <is>
          <t>Alex Novak</t>
        </is>
      </c>
      <c r="G18" s="113" t="inlineStr">
        <is>
          <t>Room B1</t>
        </is>
      </c>
      <c r="H18" s="113" t="inlineStr">
        <is>
          <t>Technical</t>
        </is>
      </c>
      <c r="I18" s="113" t="inlineStr">
        <is>
          <t>Technical</t>
        </is>
      </c>
      <c r="J18" s="114" t="n">
        <v>48</v>
      </c>
      <c r="K18" s="114" t="n">
        <v>33</v>
      </c>
      <c r="S18" s="115">
        <f>IF(OR(G18="",B18="",C18=""),"",IF(SUMPRODUCT(('Room Management'!$A$4:$A$103="D"&amp;B18)*('Room Management'!$B$4:$B$103=C18)*(INDEX('Room Management'!$C$4:$M$103,0,MATCH(G18,'Room Management'!$C$2:$M$2,0))&lt;&gt;""))&gt;0,"OK","CONFLICT"))</f>
        <v/>
      </c>
    </row>
    <row r="19" ht="15" customHeight="1" s="107">
      <c r="A19" s="116" t="n">
        <v>18</v>
      </c>
      <c r="B19" s="116" t="n">
        <v>2</v>
      </c>
      <c r="C19" s="117" t="inlineStr">
        <is>
          <t>09:00</t>
        </is>
      </c>
      <c r="D19" s="117" t="inlineStr">
        <is>
          <t>10:30</t>
        </is>
      </c>
      <c r="E19" s="118" t="inlineStr">
        <is>
          <t>Design Systems</t>
        </is>
      </c>
      <c r="F19" s="119" t="inlineStr">
        <is>
          <t>Yuki Tanaka</t>
        </is>
      </c>
      <c r="G19" s="119" t="inlineStr">
        <is>
          <t>Room C1</t>
        </is>
      </c>
      <c r="H19" s="119" t="inlineStr">
        <is>
          <t>Design Thinking</t>
        </is>
      </c>
      <c r="I19" s="119" t="inlineStr">
        <is>
          <t>Design Thinking</t>
        </is>
      </c>
      <c r="J19" s="114" t="n">
        <v>35</v>
      </c>
      <c r="K19" s="114" t="n">
        <v>24</v>
      </c>
      <c r="S19" s="115">
        <f>IF(OR(G19="",B19="",C19=""),"",IF(SUMPRODUCT(('Room Management'!$A$4:$A$103="D"&amp;B19)*('Room Management'!$B$4:$B$103=C19)*(INDEX('Room Management'!$C$4:$M$103,0,MATCH(G19,'Room Management'!$C$2:$M$2,0))&lt;&gt;""))&gt;0,"OK","CONFLICT"))</f>
        <v/>
      </c>
    </row>
    <row r="20" ht="15" customHeight="1" s="107">
      <c r="A20" s="110" t="n">
        <v>19</v>
      </c>
      <c r="B20" s="110" t="n">
        <v>2</v>
      </c>
      <c r="C20" s="111" t="inlineStr">
        <is>
          <t>09:00</t>
        </is>
      </c>
      <c r="D20" s="111" t="inlineStr">
        <is>
          <t>10:30</t>
        </is>
      </c>
      <c r="E20" s="112" t="inlineStr">
        <is>
          <t>Capacity Planning</t>
        </is>
      </c>
      <c r="F20" s="113" t="inlineStr">
        <is>
          <t>James Wright</t>
        </is>
      </c>
      <c r="G20" s="113" t="inlineStr">
        <is>
          <t>Room D1</t>
        </is>
      </c>
      <c r="H20" s="113" t="inlineStr">
        <is>
          <t>Operations</t>
        </is>
      </c>
      <c r="I20" s="113" t="inlineStr">
        <is>
          <t>Operations</t>
        </is>
      </c>
      <c r="J20" s="114" t="n">
        <v>30</v>
      </c>
      <c r="K20" s="114" t="n">
        <v>21</v>
      </c>
      <c r="S20" s="115">
        <f>IF(OR(G20="",B20="",C20=""),"",IF(SUMPRODUCT(('Room Management'!$A$4:$A$103="D"&amp;B20)*('Room Management'!$B$4:$B$103=C20)*(INDEX('Room Management'!$C$4:$M$103,0,MATCH(G20,'Room Management'!$C$2:$M$2,0))&lt;&gt;""))&gt;0,"OK","CONFLICT"))</f>
        <v/>
      </c>
    </row>
    <row r="21" ht="15" customHeight="1" s="107">
      <c r="A21" s="116" t="n">
        <v>20</v>
      </c>
      <c r="B21" s="116" t="n">
        <v>2</v>
      </c>
      <c r="C21" s="117" t="inlineStr">
        <is>
          <t>10:30</t>
        </is>
      </c>
      <c r="D21" s="117" t="inlineStr">
        <is>
          <t>11:00</t>
        </is>
      </c>
      <c r="E21" s="118" t="inlineStr">
        <is>
          <t>Morning Break</t>
        </is>
      </c>
      <c r="F21" s="119" t="n"/>
      <c r="G21" s="119" t="inlineStr">
        <is>
          <t>Atrium</t>
        </is>
      </c>
      <c r="H21" s="119" t="inlineStr">
        <is>
          <t>Break</t>
        </is>
      </c>
      <c r="I21" s="119" t="inlineStr">
        <is>
          <t>all</t>
        </is>
      </c>
      <c r="J21" s="114" t="n">
        <v>200</v>
      </c>
      <c r="K21" s="114" t="n">
        <v>200</v>
      </c>
      <c r="S21" s="115">
        <f>IF(OR(G21="",B21="",C21=""),"",IF(SUMPRODUCT(('Room Management'!$A$4:$A$103="D"&amp;B21)*('Room Management'!$B$4:$B$103=C21)*(INDEX('Room Management'!$C$4:$M$103,0,MATCH(G21,'Room Management'!$C$2:$M$2,0))&lt;&gt;""))&gt;0,"OK","CONFLICT"))</f>
        <v/>
      </c>
    </row>
    <row r="22" ht="15" customHeight="1" s="107">
      <c r="A22" s="110" t="n">
        <v>21</v>
      </c>
      <c r="B22" s="110" t="n">
        <v>2</v>
      </c>
      <c r="C22" s="111" t="inlineStr">
        <is>
          <t>11:00</t>
        </is>
      </c>
      <c r="D22" s="111" t="inlineStr">
        <is>
          <t>12:00</t>
        </is>
      </c>
      <c r="E22" s="112" t="inlineStr">
        <is>
          <t>Panel: Future of Work</t>
        </is>
      </c>
      <c r="F22" s="113" t="inlineStr">
        <is>
          <t>Multiple Speakers</t>
        </is>
      </c>
      <c r="G22" s="113" t="inlineStr">
        <is>
          <t>Main Hall</t>
        </is>
      </c>
      <c r="H22" s="113" t="inlineStr">
        <is>
          <t>Keynote</t>
        </is>
      </c>
      <c r="I22" s="113" t="inlineStr">
        <is>
          <t>all</t>
        </is>
      </c>
      <c r="J22" s="114" t="n">
        <v>180</v>
      </c>
      <c r="K22" s="114" t="n">
        <v>125</v>
      </c>
      <c r="S22" s="115">
        <f>IF(OR(G22="",B22="",C22=""),"",IF(SUMPRODUCT(('Room Management'!$A$4:$A$103="D"&amp;B22)*('Room Management'!$B$4:$B$103=C22)*(INDEX('Room Management'!$C$4:$M$103,0,MATCH(G22,'Room Management'!$C$2:$M$2,0))&lt;&gt;""))&gt;0,"OK","CONFLICT"))</f>
        <v/>
      </c>
    </row>
    <row r="23" ht="15" customHeight="1" s="107">
      <c r="A23" s="116" t="n">
        <v>22</v>
      </c>
      <c r="B23" s="116" t="n">
        <v>2</v>
      </c>
      <c r="C23" s="117" t="inlineStr">
        <is>
          <t>12:00</t>
        </is>
      </c>
      <c r="D23" s="117" t="inlineStr">
        <is>
          <t>13:00</t>
        </is>
      </c>
      <c r="E23" s="118" t="inlineStr">
        <is>
          <t>Lunch &amp; Networking</t>
        </is>
      </c>
      <c r="F23" s="119" t="n"/>
      <c r="G23" s="119" t="inlineStr">
        <is>
          <t>Atrium</t>
        </is>
      </c>
      <c r="H23" s="119" t="inlineStr">
        <is>
          <t>Break</t>
        </is>
      </c>
      <c r="I23" s="119" t="inlineStr">
        <is>
          <t>all</t>
        </is>
      </c>
      <c r="J23" s="114" t="n">
        <v>200</v>
      </c>
      <c r="K23" s="114" t="n">
        <v>200</v>
      </c>
      <c r="S23" s="115">
        <f>IF(OR(G23="",B23="",C23=""),"",IF(SUMPRODUCT(('Room Management'!$A$4:$A$103="D"&amp;B23)*('Room Management'!$B$4:$B$103=C23)*(INDEX('Room Management'!$C$4:$M$103,0,MATCH(G23,'Room Management'!$C$2:$M$2,0))&lt;&gt;""))&gt;0,"OK","CONFLICT"))</f>
        <v/>
      </c>
    </row>
    <row r="24" ht="15" customHeight="1" s="107">
      <c r="A24" s="110" t="n">
        <v>23</v>
      </c>
      <c r="B24" s="110" t="n">
        <v>2</v>
      </c>
      <c r="C24" s="111" t="inlineStr">
        <is>
          <t>13:00</t>
        </is>
      </c>
      <c r="D24" s="111" t="inlineStr">
        <is>
          <t>14:30</t>
        </is>
      </c>
      <c r="E24" s="112" t="inlineStr">
        <is>
          <t>Conflict Resolution</t>
        </is>
      </c>
      <c r="F24" s="113" t="inlineStr">
        <is>
          <t>Mark Torres</t>
        </is>
      </c>
      <c r="G24" s="113" t="inlineStr">
        <is>
          <t>Room A1</t>
        </is>
      </c>
      <c r="H24" s="113" t="inlineStr">
        <is>
          <t>Leadership</t>
        </is>
      </c>
      <c r="I24" s="113" t="inlineStr">
        <is>
          <t>Leadership</t>
        </is>
      </c>
      <c r="J24" s="114" t="n">
        <v>40</v>
      </c>
      <c r="K24" s="114" t="n">
        <v>28</v>
      </c>
      <c r="S24" s="115">
        <f>IF(OR(G24="",B24="",C24=""),"",IF(SUMPRODUCT(('Room Management'!$A$4:$A$103="D"&amp;B24)*('Room Management'!$B$4:$B$103=C24)*(INDEX('Room Management'!$C$4:$M$103,0,MATCH(G24,'Room Management'!$C$2:$M$2,0))&lt;&gt;""))&gt;0,"OK","CONFLICT"))</f>
        <v/>
      </c>
    </row>
    <row r="25" ht="15" customHeight="1" s="107">
      <c r="A25" s="116" t="n">
        <v>24</v>
      </c>
      <c r="B25" s="116" t="n">
        <v>2</v>
      </c>
      <c r="C25" s="117" t="inlineStr">
        <is>
          <t>13:00</t>
        </is>
      </c>
      <c r="D25" s="117" t="inlineStr">
        <is>
          <t>14:30</t>
        </is>
      </c>
      <c r="E25" s="118" t="inlineStr">
        <is>
          <t>DevOps Practices</t>
        </is>
      </c>
      <c r="F25" s="119" t="inlineStr">
        <is>
          <t>Priya Sharma</t>
        </is>
      </c>
      <c r="G25" s="119" t="inlineStr">
        <is>
          <t>Room B1</t>
        </is>
      </c>
      <c r="H25" s="119" t="inlineStr">
        <is>
          <t>Technical</t>
        </is>
      </c>
      <c r="I25" s="119" t="inlineStr">
        <is>
          <t>Technical</t>
        </is>
      </c>
      <c r="J25" s="114" t="n">
        <v>50</v>
      </c>
      <c r="K25" s="114" t="n">
        <v>35</v>
      </c>
      <c r="S25" s="115">
        <f>IF(OR(G25="",B25="",C25=""),"",IF(SUMPRODUCT(('Room Management'!$A$4:$A$103="D"&amp;B25)*('Room Management'!$B$4:$B$103=C25)*(INDEX('Room Management'!$C$4:$M$103,0,MATCH(G25,'Room Management'!$C$2:$M$2,0))&lt;&gt;""))&gt;0,"OK","CONFLICT"))</f>
        <v/>
      </c>
    </row>
    <row r="26" ht="15" customHeight="1" s="107">
      <c r="A26" s="110" t="n">
        <v>25</v>
      </c>
      <c r="B26" s="110" t="n">
        <v>2</v>
      </c>
      <c r="C26" s="111" t="inlineStr">
        <is>
          <t>13:00</t>
        </is>
      </c>
      <c r="D26" s="111" t="inlineStr">
        <is>
          <t>14:30</t>
        </is>
      </c>
      <c r="E26" s="112" t="inlineStr">
        <is>
          <t>Accessibility Workshop</t>
        </is>
      </c>
      <c r="F26" s="113" t="inlineStr">
        <is>
          <t>Carlos Ruiz</t>
        </is>
      </c>
      <c r="G26" s="113" t="inlineStr">
        <is>
          <t>Room C1</t>
        </is>
      </c>
      <c r="H26" s="113" t="inlineStr">
        <is>
          <t>Design Thinking</t>
        </is>
      </c>
      <c r="I26" s="113" t="inlineStr">
        <is>
          <t>Design Thinking</t>
        </is>
      </c>
      <c r="J26" s="114" t="n">
        <v>36</v>
      </c>
      <c r="K26" s="114" t="n">
        <v>25</v>
      </c>
      <c r="S26" s="115">
        <f>IF(OR(G26="",B26="",C26=""),"",IF(SUMPRODUCT(('Room Management'!$A$4:$A$103="D"&amp;B26)*('Room Management'!$B$4:$B$103=C26)*(INDEX('Room Management'!$C$4:$M$103,0,MATCH(G26,'Room Management'!$C$2:$M$2,0))&lt;&gt;""))&gt;0,"OK","CONFLICT"))</f>
        <v/>
      </c>
    </row>
    <row r="27" ht="15" customHeight="1" s="107">
      <c r="A27" s="116" t="n">
        <v>26</v>
      </c>
      <c r="B27" s="116" t="n">
        <v>2</v>
      </c>
      <c r="C27" s="117" t="inlineStr">
        <is>
          <t>13:00</t>
        </is>
      </c>
      <c r="D27" s="117" t="inlineStr">
        <is>
          <t>14:30</t>
        </is>
      </c>
      <c r="E27" s="118" t="inlineStr">
        <is>
          <t>Vendor Management</t>
        </is>
      </c>
      <c r="F27" s="119" t="inlineStr">
        <is>
          <t>Nina Petrov</t>
        </is>
      </c>
      <c r="G27" s="119" t="inlineStr">
        <is>
          <t>Room D1</t>
        </is>
      </c>
      <c r="H27" s="119" t="inlineStr">
        <is>
          <t>Operations</t>
        </is>
      </c>
      <c r="I27" s="119" t="inlineStr">
        <is>
          <t>Operations</t>
        </is>
      </c>
      <c r="J27" s="114" t="n">
        <v>28</v>
      </c>
      <c r="K27" s="114" t="n">
        <v>19</v>
      </c>
      <c r="S27" s="115">
        <f>IF(OR(G27="",B27="",C27=""),"",IF(SUMPRODUCT(('Room Management'!$A$4:$A$103="D"&amp;B27)*('Room Management'!$B$4:$B$103=C27)*(INDEX('Room Management'!$C$4:$M$103,0,MATCH(G27,'Room Management'!$C$2:$M$2,0))&lt;&gt;""))&gt;0,"OK","CONFLICT"))</f>
        <v/>
      </c>
    </row>
    <row r="28" ht="15" customHeight="1" s="107">
      <c r="A28" s="110" t="n">
        <v>27</v>
      </c>
      <c r="B28" s="110" t="n">
        <v>2</v>
      </c>
      <c r="C28" s="111" t="inlineStr">
        <is>
          <t>14:30</t>
        </is>
      </c>
      <c r="D28" s="111" t="inlineStr">
        <is>
          <t>15:00</t>
        </is>
      </c>
      <c r="E28" s="112" t="inlineStr">
        <is>
          <t>Afternoon Break</t>
        </is>
      </c>
      <c r="F28" s="113" t="n"/>
      <c r="G28" s="113" t="inlineStr">
        <is>
          <t>Atrium</t>
        </is>
      </c>
      <c r="H28" s="113" t="inlineStr">
        <is>
          <t>Break</t>
        </is>
      </c>
      <c r="I28" s="113" t="inlineStr">
        <is>
          <t>all</t>
        </is>
      </c>
      <c r="J28" s="114" t="n">
        <v>200</v>
      </c>
      <c r="K28" s="114" t="n">
        <v>200</v>
      </c>
      <c r="S28" s="115">
        <f>IF(OR(G28="",B28="",C28=""),"",IF(SUMPRODUCT(('Room Management'!$A$4:$A$103="D"&amp;B28)*('Room Management'!$B$4:$B$103=C28)*(INDEX('Room Management'!$C$4:$M$103,0,MATCH(G28,'Room Management'!$C$2:$M$2,0))&lt;&gt;""))&gt;0,"OK","CONFLICT"))</f>
        <v/>
      </c>
    </row>
    <row r="29" ht="15" customHeight="1" s="107">
      <c r="A29" s="116" t="n">
        <v>28</v>
      </c>
      <c r="B29" s="116" t="n">
        <v>2</v>
      </c>
      <c r="C29" s="117" t="inlineStr">
        <is>
          <t>15:00</t>
        </is>
      </c>
      <c r="D29" s="117" t="inlineStr">
        <is>
          <t>16:30</t>
        </is>
      </c>
      <c r="E29" s="118" t="inlineStr">
        <is>
          <t>Strategic Planning</t>
        </is>
      </c>
      <c r="F29" s="119" t="inlineStr">
        <is>
          <t>Tom Bradley</t>
        </is>
      </c>
      <c r="G29" s="119" t="inlineStr">
        <is>
          <t>Room A1</t>
        </is>
      </c>
      <c r="H29" s="119" t="inlineStr">
        <is>
          <t>Leadership</t>
        </is>
      </c>
      <c r="I29" s="119" t="inlineStr">
        <is>
          <t>Leadership</t>
        </is>
      </c>
      <c r="J29" s="114" t="n">
        <v>42</v>
      </c>
      <c r="K29" s="114" t="n">
        <v>29</v>
      </c>
      <c r="S29" s="115">
        <f>IF(OR(G29="",B29="",C29=""),"",IF(SUMPRODUCT(('Room Management'!$A$4:$A$103="D"&amp;B29)*('Room Management'!$B$4:$B$103=C29)*(INDEX('Room Management'!$C$4:$M$103,0,MATCH(G29,'Room Management'!$C$2:$M$2,0))&lt;&gt;""))&gt;0,"OK","CONFLICT"))</f>
        <v/>
      </c>
    </row>
    <row r="30" ht="15" customHeight="1" s="107">
      <c r="A30" s="110" t="n">
        <v>29</v>
      </c>
      <c r="B30" s="110" t="n">
        <v>2</v>
      </c>
      <c r="C30" s="111" t="inlineStr">
        <is>
          <t>15:00</t>
        </is>
      </c>
      <c r="D30" s="111" t="inlineStr">
        <is>
          <t>16:30</t>
        </is>
      </c>
      <c r="E30" s="112" t="inlineStr">
        <is>
          <t>Performance Testing</t>
        </is>
      </c>
      <c r="F30" s="113" t="inlineStr">
        <is>
          <t>David Kim</t>
        </is>
      </c>
      <c r="G30" s="113" t="inlineStr">
        <is>
          <t>Room B1</t>
        </is>
      </c>
      <c r="H30" s="113" t="inlineStr">
        <is>
          <t>Technical</t>
        </is>
      </c>
      <c r="I30" s="113" t="inlineStr">
        <is>
          <t>Technical</t>
        </is>
      </c>
      <c r="J30" s="114" t="n">
        <v>44</v>
      </c>
      <c r="K30" s="114" t="n">
        <v>30</v>
      </c>
      <c r="S30" s="115">
        <f>IF(OR(G30="",B30="",C30=""),"",IF(SUMPRODUCT(('Room Management'!$A$4:$A$103="D"&amp;B30)*('Room Management'!$B$4:$B$103=C30)*(INDEX('Room Management'!$C$4:$M$103,0,MATCH(G30,'Room Management'!$C$2:$M$2,0))&lt;&gt;""))&gt;0,"OK","CONFLICT"))</f>
        <v/>
      </c>
    </row>
    <row r="31" ht="15" customHeight="1" s="107">
      <c r="A31" s="116" t="n">
        <v>30</v>
      </c>
      <c r="B31" s="116" t="n">
        <v>2</v>
      </c>
      <c r="C31" s="117" t="inlineStr">
        <is>
          <t>15:00</t>
        </is>
      </c>
      <c r="D31" s="117" t="inlineStr">
        <is>
          <t>16:30</t>
        </is>
      </c>
      <c r="E31" s="118" t="inlineStr">
        <is>
          <t>User Research Methods</t>
        </is>
      </c>
      <c r="F31" s="119" t="inlineStr">
        <is>
          <t>Yuki Tanaka</t>
        </is>
      </c>
      <c r="G31" s="119" t="inlineStr">
        <is>
          <t>Room C1</t>
        </is>
      </c>
      <c r="H31" s="119" t="inlineStr">
        <is>
          <t>Design Thinking</t>
        </is>
      </c>
      <c r="I31" s="119" t="inlineStr">
        <is>
          <t>Design Thinking</t>
        </is>
      </c>
      <c r="J31" s="114" t="n">
        <v>34</v>
      </c>
      <c r="K31" s="114" t="n">
        <v>23</v>
      </c>
      <c r="S31" s="115">
        <f>IF(OR(G31="",B31="",C31=""),"",IF(SUMPRODUCT(('Room Management'!$A$4:$A$103="D"&amp;B31)*('Room Management'!$B$4:$B$103=C31)*(INDEX('Room Management'!$C$4:$M$103,0,MATCH(G31,'Room Management'!$C$2:$M$2,0))&lt;&gt;""))&gt;0,"OK","CONFLICT"))</f>
        <v/>
      </c>
    </row>
    <row r="32" ht="15" customHeight="1" s="107">
      <c r="A32" s="110" t="n">
        <v>31</v>
      </c>
      <c r="B32" s="110" t="n">
        <v>2</v>
      </c>
      <c r="C32" s="111" t="inlineStr">
        <is>
          <t>15:00</t>
        </is>
      </c>
      <c r="D32" s="111" t="inlineStr">
        <is>
          <t>16:30</t>
        </is>
      </c>
      <c r="E32" s="112" t="inlineStr">
        <is>
          <t>Budget Forecasting</t>
        </is>
      </c>
      <c r="F32" s="113" t="inlineStr">
        <is>
          <t>Rachel Green</t>
        </is>
      </c>
      <c r="G32" s="113" t="inlineStr">
        <is>
          <t>Room D1</t>
        </is>
      </c>
      <c r="H32" s="113" t="inlineStr">
        <is>
          <t>Operations</t>
        </is>
      </c>
      <c r="I32" s="113" t="inlineStr">
        <is>
          <t>Operations</t>
        </is>
      </c>
      <c r="J32" s="114" t="n">
        <v>26</v>
      </c>
      <c r="K32" s="114" t="n">
        <v>18</v>
      </c>
      <c r="S32" s="115">
        <f>IF(OR(G32="",B32="",C32=""),"",IF(SUMPRODUCT(('Room Management'!$A$4:$A$103="D"&amp;B32)*('Room Management'!$B$4:$B$103=C32)*(INDEX('Room Management'!$C$4:$M$103,0,MATCH(G32,'Room Management'!$C$2:$M$2,0))&lt;&gt;""))&gt;0,"OK","CONFLICT"))</f>
        <v/>
      </c>
    </row>
    <row r="33" ht="15" customHeight="1" s="107">
      <c r="A33" s="116" t="n">
        <v>32</v>
      </c>
      <c r="B33" s="116" t="n">
        <v>3</v>
      </c>
      <c r="C33" s="117" t="inlineStr">
        <is>
          <t>09:00</t>
        </is>
      </c>
      <c r="D33" s="117" t="inlineStr">
        <is>
          <t>10:00</t>
        </is>
      </c>
      <c r="E33" s="118" t="inlineStr">
        <is>
          <t>Midweek Keynote</t>
        </is>
      </c>
      <c r="F33" s="119" t="inlineStr">
        <is>
          <t>Dr. Sarah Chen</t>
        </is>
      </c>
      <c r="G33" s="119" t="inlineStr">
        <is>
          <t>Main Hall</t>
        </is>
      </c>
      <c r="H33" s="119" t="inlineStr">
        <is>
          <t>Keynote</t>
        </is>
      </c>
      <c r="I33" s="119" t="inlineStr">
        <is>
          <t>all</t>
        </is>
      </c>
      <c r="J33" s="114" t="n">
        <v>190</v>
      </c>
      <c r="K33" s="114" t="n">
        <v>133</v>
      </c>
      <c r="S33" s="115">
        <f>IF(OR(G33="",B33="",C33=""),"",IF(SUMPRODUCT(('Room Management'!$A$4:$A$103="D"&amp;B33)*('Room Management'!$B$4:$B$103=C33)*(INDEX('Room Management'!$C$4:$M$103,0,MATCH(G33,'Room Management'!$C$2:$M$2,0))&lt;&gt;""))&gt;0,"OK","CONFLICT"))</f>
        <v/>
      </c>
    </row>
    <row r="34" ht="15" customHeight="1" s="107">
      <c r="A34" s="110" t="n">
        <v>33</v>
      </c>
      <c r="B34" s="110" t="n">
        <v>3</v>
      </c>
      <c r="C34" s="111" t="inlineStr">
        <is>
          <t>10:00</t>
        </is>
      </c>
      <c r="D34" s="111" t="inlineStr">
        <is>
          <t>10:30</t>
        </is>
      </c>
      <c r="E34" s="112" t="inlineStr">
        <is>
          <t>Morning Break</t>
        </is>
      </c>
      <c r="F34" s="113" t="n"/>
      <c r="G34" s="113" t="inlineStr">
        <is>
          <t>Atrium</t>
        </is>
      </c>
      <c r="H34" s="113" t="inlineStr">
        <is>
          <t>Break</t>
        </is>
      </c>
      <c r="I34" s="113" t="inlineStr">
        <is>
          <t>all</t>
        </is>
      </c>
      <c r="J34" s="114" t="n">
        <v>200</v>
      </c>
      <c r="K34" s="114" t="n">
        <v>200</v>
      </c>
      <c r="S34" s="115">
        <f>IF(OR(G34="",B34="",C34=""),"",IF(SUMPRODUCT(('Room Management'!$A$4:$A$103="D"&amp;B34)*('Room Management'!$B$4:$B$103=C34)*(INDEX('Room Management'!$C$4:$M$103,0,MATCH(G34,'Room Management'!$C$2:$M$2,0))&lt;&gt;""))&gt;0,"OK","CONFLICT"))</f>
        <v/>
      </c>
    </row>
    <row r="35" ht="15" customHeight="1" s="107">
      <c r="A35" s="116" t="n">
        <v>34</v>
      </c>
      <c r="B35" s="116" t="n">
        <v>3</v>
      </c>
      <c r="C35" s="117" t="inlineStr">
        <is>
          <t>10:30</t>
        </is>
      </c>
      <c r="D35" s="117" t="inlineStr">
        <is>
          <t>12:00</t>
        </is>
      </c>
      <c r="E35" s="118" t="inlineStr">
        <is>
          <t>Cross-Team Collaboration</t>
        </is>
      </c>
      <c r="F35" s="119" t="inlineStr">
        <is>
          <t>Aisha Johnson</t>
        </is>
      </c>
      <c r="G35" s="119" t="inlineStr">
        <is>
          <t>Room A1</t>
        </is>
      </c>
      <c r="H35" s="119" t="inlineStr">
        <is>
          <t>Leadership</t>
        </is>
      </c>
      <c r="I35" s="119" t="inlineStr">
        <is>
          <t>Leadership</t>
        </is>
      </c>
      <c r="J35" s="114" t="n">
        <v>40</v>
      </c>
      <c r="K35" s="114" t="n">
        <v>28</v>
      </c>
      <c r="S35" s="115">
        <f>IF(OR(G35="",B35="",C35=""),"",IF(SUMPRODUCT(('Room Management'!$A$4:$A$103="D"&amp;B35)*('Room Management'!$B$4:$B$103=C35)*(INDEX('Room Management'!$C$4:$M$103,0,MATCH(G35,'Room Management'!$C$2:$M$2,0))&lt;&gt;""))&gt;0,"OK","CONFLICT"))</f>
        <v/>
      </c>
    </row>
    <row r="36" ht="15" customHeight="1" s="107">
      <c r="A36" s="110" t="n">
        <v>35</v>
      </c>
      <c r="B36" s="110" t="n">
        <v>3</v>
      </c>
      <c r="C36" s="111" t="inlineStr">
        <is>
          <t>10:30</t>
        </is>
      </c>
      <c r="D36" s="111" t="inlineStr">
        <is>
          <t>12:00</t>
        </is>
      </c>
      <c r="E36" s="112" t="inlineStr">
        <is>
          <t>AI/ML Integration</t>
        </is>
      </c>
      <c r="F36" s="113" t="inlineStr">
        <is>
          <t>Wei Zhang</t>
        </is>
      </c>
      <c r="G36" s="113" t="inlineStr">
        <is>
          <t>Room B1</t>
        </is>
      </c>
      <c r="H36" s="113" t="inlineStr">
        <is>
          <t>Technical</t>
        </is>
      </c>
      <c r="I36" s="113" t="inlineStr">
        <is>
          <t>Technical</t>
        </is>
      </c>
      <c r="J36" s="114" t="n">
        <v>52</v>
      </c>
      <c r="K36" s="114" t="n">
        <v>36</v>
      </c>
      <c r="S36" s="115">
        <f>IF(OR(G36="",B36="",C36=""),"",IF(SUMPRODUCT(('Room Management'!$A$4:$A$103="D"&amp;B36)*('Room Management'!$B$4:$B$103=C36)*(INDEX('Room Management'!$C$4:$M$103,0,MATCH(G36,'Room Management'!$C$2:$M$2,0))&lt;&gt;""))&gt;0,"OK","CONFLICT"))</f>
        <v/>
      </c>
    </row>
    <row r="37" ht="15" customHeight="1" s="107">
      <c r="A37" s="116" t="n">
        <v>36</v>
      </c>
      <c r="B37" s="116" t="n">
        <v>3</v>
      </c>
      <c r="C37" s="117" t="inlineStr">
        <is>
          <t>10:30</t>
        </is>
      </c>
      <c r="D37" s="117" t="inlineStr">
        <is>
          <t>12:00</t>
        </is>
      </c>
      <c r="E37" s="118" t="inlineStr">
        <is>
          <t>Workshop Facilitation</t>
        </is>
      </c>
      <c r="F37" s="119" t="inlineStr">
        <is>
          <t>Lena Müller</t>
        </is>
      </c>
      <c r="G37" s="119" t="inlineStr">
        <is>
          <t>Room C1</t>
        </is>
      </c>
      <c r="H37" s="119" t="inlineStr">
        <is>
          <t>Design Thinking</t>
        </is>
      </c>
      <c r="I37" s="119" t="inlineStr">
        <is>
          <t>Design Thinking</t>
        </is>
      </c>
      <c r="J37" s="114" t="n">
        <v>34</v>
      </c>
      <c r="K37" s="114" t="n">
        <v>23</v>
      </c>
      <c r="S37" s="115">
        <f>IF(OR(G37="",B37="",C37=""),"",IF(SUMPRODUCT(('Room Management'!$A$4:$A$103="D"&amp;B37)*('Room Management'!$B$4:$B$103=C37)*(INDEX('Room Management'!$C$4:$M$103,0,MATCH(G37,'Room Management'!$C$2:$M$2,0))&lt;&gt;""))&gt;0,"OK","CONFLICT"))</f>
        <v/>
      </c>
    </row>
    <row r="38" ht="15" customHeight="1" s="107">
      <c r="A38" s="110" t="n">
        <v>37</v>
      </c>
      <c r="B38" s="110" t="n">
        <v>3</v>
      </c>
      <c r="C38" s="111" t="inlineStr">
        <is>
          <t>10:30</t>
        </is>
      </c>
      <c r="D38" s="111" t="inlineStr">
        <is>
          <t>12:00</t>
        </is>
      </c>
      <c r="E38" s="112" t="inlineStr">
        <is>
          <t>Incident Response</t>
        </is>
      </c>
      <c r="F38" s="113" t="inlineStr">
        <is>
          <t>Alex Novak</t>
        </is>
      </c>
      <c r="G38" s="113" t="inlineStr">
        <is>
          <t>Room D1</t>
        </is>
      </c>
      <c r="H38" s="113" t="inlineStr">
        <is>
          <t>Operations</t>
        </is>
      </c>
      <c r="I38" s="113" t="inlineStr">
        <is>
          <t>Operations</t>
        </is>
      </c>
      <c r="J38" s="114" t="n">
        <v>30</v>
      </c>
      <c r="K38" s="114" t="n">
        <v>21</v>
      </c>
      <c r="S38" s="115">
        <f>IF(OR(G38="",B38="",C38=""),"",IF(SUMPRODUCT(('Room Management'!$A$4:$A$103="D"&amp;B38)*('Room Management'!$B$4:$B$103=C38)*(INDEX('Room Management'!$C$4:$M$103,0,MATCH(G38,'Room Management'!$C$2:$M$2,0))&lt;&gt;""))&gt;0,"OK","CONFLICT"))</f>
        <v/>
      </c>
    </row>
    <row r="39" ht="15" customHeight="1" s="107">
      <c r="A39" s="116" t="n">
        <v>38</v>
      </c>
      <c r="B39" s="116" t="n">
        <v>3</v>
      </c>
      <c r="C39" s="117" t="inlineStr">
        <is>
          <t>12:00</t>
        </is>
      </c>
      <c r="D39" s="117" t="inlineStr">
        <is>
          <t>13:00</t>
        </is>
      </c>
      <c r="E39" s="118" t="inlineStr">
        <is>
          <t>Lunch &amp; Networking</t>
        </is>
      </c>
      <c r="F39" s="119" t="n"/>
      <c r="G39" s="119" t="inlineStr">
        <is>
          <t>Atrium</t>
        </is>
      </c>
      <c r="H39" s="119" t="inlineStr">
        <is>
          <t>Break</t>
        </is>
      </c>
      <c r="I39" s="119" t="inlineStr">
        <is>
          <t>all</t>
        </is>
      </c>
      <c r="J39" s="114" t="n">
        <v>200</v>
      </c>
      <c r="K39" s="114" t="n">
        <v>200</v>
      </c>
      <c r="S39" s="115">
        <f>IF(OR(G39="",B39="",C39=""),"",IF(SUMPRODUCT(('Room Management'!$A$4:$A$103="D"&amp;B39)*('Room Management'!$B$4:$B$103=C39)*(INDEX('Room Management'!$C$4:$M$103,0,MATCH(G39,'Room Management'!$C$2:$M$2,0))&lt;&gt;""))&gt;0,"OK","CONFLICT"))</f>
        <v/>
      </c>
    </row>
    <row r="40" ht="15" customHeight="1" s="107">
      <c r="A40" s="110" t="n">
        <v>39</v>
      </c>
      <c r="B40" s="110" t="n">
        <v>3</v>
      </c>
      <c r="C40" s="111" t="inlineStr">
        <is>
          <t>13:00</t>
        </is>
      </c>
      <c r="D40" s="111" t="inlineStr">
        <is>
          <t>16:30</t>
        </is>
      </c>
      <c r="E40" s="112" t="inlineStr">
        <is>
          <t>Cross-Track Hackathon</t>
        </is>
      </c>
      <c r="F40" s="113" t="inlineStr">
        <is>
          <t>All Facilitators</t>
        </is>
      </c>
      <c r="G40" s="113" t="inlineStr">
        <is>
          <t>All Rooms</t>
        </is>
      </c>
      <c r="H40" s="113" t="inlineStr">
        <is>
          <t>Keynote</t>
        </is>
      </c>
      <c r="I40" s="113" t="inlineStr">
        <is>
          <t>all</t>
        </is>
      </c>
      <c r="J40" s="114" t="n">
        <v>200</v>
      </c>
      <c r="K40" s="114" t="n">
        <v>140</v>
      </c>
      <c r="S40" s="115">
        <f>IF(OR(G40="",B40="",C40=""),"",IF(SUMPRODUCT(('Room Management'!$A$4:$A$103="D"&amp;B40)*('Room Management'!$B$4:$B$103=C40)*(INDEX('Room Management'!$C$4:$M$103,0,MATCH(G40,'Room Management'!$C$2:$M$2,0))&lt;&gt;""))&gt;0,"OK","CONFLICT"))</f>
        <v/>
      </c>
    </row>
    <row r="41" ht="15" customHeight="1" s="107">
      <c r="A41" s="116" t="n">
        <v>40</v>
      </c>
      <c r="B41" s="116" t="n">
        <v>4</v>
      </c>
      <c r="C41" s="117" t="inlineStr">
        <is>
          <t>09:00</t>
        </is>
      </c>
      <c r="D41" s="117" t="inlineStr">
        <is>
          <t>10:30</t>
        </is>
      </c>
      <c r="E41" s="118" t="inlineStr">
        <is>
          <t>Coaching Skills</t>
        </is>
      </c>
      <c r="F41" s="119" t="inlineStr">
        <is>
          <t>Mark Torres</t>
        </is>
      </c>
      <c r="G41" s="119" t="inlineStr">
        <is>
          <t>Room A1</t>
        </is>
      </c>
      <c r="H41" s="119" t="inlineStr">
        <is>
          <t>Leadership</t>
        </is>
      </c>
      <c r="I41" s="119" t="inlineStr">
        <is>
          <t>Leadership</t>
        </is>
      </c>
      <c r="J41" s="114" t="n">
        <v>38</v>
      </c>
      <c r="K41" s="114" t="n">
        <v>26</v>
      </c>
      <c r="S41" s="115">
        <f>IF(OR(G41="",B41="",C41=""),"",IF(SUMPRODUCT(('Room Management'!$A$4:$A$103="D"&amp;B41)*('Room Management'!$B$4:$B$103=C41)*(INDEX('Room Management'!$C$4:$M$103,0,MATCH(G41,'Room Management'!$C$2:$M$2,0))&lt;&gt;""))&gt;0,"OK","CONFLICT"))</f>
        <v/>
      </c>
    </row>
    <row r="42" ht="15" customHeight="1" s="107">
      <c r="A42" s="110" t="n">
        <v>41</v>
      </c>
      <c r="B42" s="110" t="n">
        <v>4</v>
      </c>
      <c r="C42" s="111" t="inlineStr">
        <is>
          <t>09:00</t>
        </is>
      </c>
      <c r="D42" s="111" t="inlineStr">
        <is>
          <t>10:30</t>
        </is>
      </c>
      <c r="E42" s="112" t="inlineStr">
        <is>
          <t>System Architecture</t>
        </is>
      </c>
      <c r="F42" s="113" t="inlineStr">
        <is>
          <t>David Kim</t>
        </is>
      </c>
      <c r="G42" s="113" t="inlineStr">
        <is>
          <t>Room B1</t>
        </is>
      </c>
      <c r="H42" s="113" t="inlineStr">
        <is>
          <t>Technical</t>
        </is>
      </c>
      <c r="I42" s="113" t="inlineStr">
        <is>
          <t>Technical</t>
        </is>
      </c>
      <c r="J42" s="114" t="n">
        <v>50</v>
      </c>
      <c r="K42" s="114" t="n">
        <v>35</v>
      </c>
      <c r="S42" s="115">
        <f>IF(OR(G42="",B42="",C42=""),"",IF(SUMPRODUCT(('Room Management'!$A$4:$A$103="D"&amp;B42)*('Room Management'!$B$4:$B$103=C42)*(INDEX('Room Management'!$C$4:$M$103,0,MATCH(G42,'Room Management'!$C$2:$M$2,0))&lt;&gt;""))&gt;0,"OK","CONFLICT"))</f>
        <v/>
      </c>
    </row>
    <row r="43" ht="15" customHeight="1" s="107">
      <c r="A43" s="116" t="n">
        <v>42</v>
      </c>
      <c r="B43" s="116" t="n">
        <v>4</v>
      </c>
      <c r="C43" s="117" t="inlineStr">
        <is>
          <t>09:00</t>
        </is>
      </c>
      <c r="D43" s="117" t="inlineStr">
        <is>
          <t>10:30</t>
        </is>
      </c>
      <c r="E43" s="118" t="inlineStr">
        <is>
          <t>Data Visualization</t>
        </is>
      </c>
      <c r="F43" s="119" t="inlineStr">
        <is>
          <t>Carlos Ruiz</t>
        </is>
      </c>
      <c r="G43" s="119" t="inlineStr">
        <is>
          <t>Room C1</t>
        </is>
      </c>
      <c r="H43" s="119" t="inlineStr">
        <is>
          <t>Design Thinking</t>
        </is>
      </c>
      <c r="I43" s="119" t="inlineStr">
        <is>
          <t>Design Thinking</t>
        </is>
      </c>
      <c r="J43" s="114" t="n">
        <v>36</v>
      </c>
      <c r="K43" s="114" t="n">
        <v>25</v>
      </c>
      <c r="S43" s="115">
        <f>IF(OR(G43="",B43="",C43=""),"",IF(SUMPRODUCT(('Room Management'!$A$4:$A$103="D"&amp;B43)*('Room Management'!$B$4:$B$103=C43)*(INDEX('Room Management'!$C$4:$M$103,0,MATCH(G43,'Room Management'!$C$2:$M$2,0))&lt;&gt;""))&gt;0,"OK","CONFLICT"))</f>
        <v/>
      </c>
    </row>
    <row r="44" ht="15" customHeight="1" s="107">
      <c r="A44" s="110" t="n">
        <v>43</v>
      </c>
      <c r="B44" s="110" t="n">
        <v>4</v>
      </c>
      <c r="C44" s="111" t="inlineStr">
        <is>
          <t>09:00</t>
        </is>
      </c>
      <c r="D44" s="111" t="inlineStr">
        <is>
          <t>10:30</t>
        </is>
      </c>
      <c r="E44" s="112" t="inlineStr">
        <is>
          <t>Change Management</t>
        </is>
      </c>
      <c r="F44" s="113" t="inlineStr">
        <is>
          <t>James Wright</t>
        </is>
      </c>
      <c r="G44" s="113" t="inlineStr">
        <is>
          <t>Room D1</t>
        </is>
      </c>
      <c r="H44" s="113" t="inlineStr">
        <is>
          <t>Operations</t>
        </is>
      </c>
      <c r="I44" s="113" t="inlineStr">
        <is>
          <t>Operations</t>
        </is>
      </c>
      <c r="J44" s="114" t="n">
        <v>32</v>
      </c>
      <c r="K44" s="114" t="n">
        <v>22</v>
      </c>
      <c r="S44" s="115">
        <f>IF(OR(G44="",B44="",C44=""),"",IF(SUMPRODUCT(('Room Management'!$A$4:$A$103="D"&amp;B44)*('Room Management'!$B$4:$B$103=C44)*(INDEX('Room Management'!$C$4:$M$103,0,MATCH(G44,'Room Management'!$C$2:$M$2,0))&lt;&gt;""))&gt;0,"OK","CONFLICT"))</f>
        <v/>
      </c>
    </row>
    <row r="45" ht="15" customHeight="1" s="107">
      <c r="A45" s="116" t="n">
        <v>44</v>
      </c>
      <c r="B45" s="116" t="n">
        <v>4</v>
      </c>
      <c r="C45" s="117" t="inlineStr">
        <is>
          <t>10:30</t>
        </is>
      </c>
      <c r="D45" s="117" t="inlineStr">
        <is>
          <t>11:00</t>
        </is>
      </c>
      <c r="E45" s="118" t="inlineStr">
        <is>
          <t>Morning Break</t>
        </is>
      </c>
      <c r="F45" s="119" t="n"/>
      <c r="G45" s="119" t="inlineStr">
        <is>
          <t>Atrium</t>
        </is>
      </c>
      <c r="H45" s="119" t="inlineStr">
        <is>
          <t>Break</t>
        </is>
      </c>
      <c r="I45" s="119" t="inlineStr">
        <is>
          <t>all</t>
        </is>
      </c>
      <c r="J45" s="114" t="n">
        <v>200</v>
      </c>
      <c r="K45" s="114" t="n">
        <v>200</v>
      </c>
      <c r="S45" s="115">
        <f>IF(OR(G45="",B45="",C45=""),"",IF(SUMPRODUCT(('Room Management'!$A$4:$A$103="D"&amp;B45)*('Room Management'!$B$4:$B$103=C45)*(INDEX('Room Management'!$C$4:$M$103,0,MATCH(G45,'Room Management'!$C$2:$M$2,0))&lt;&gt;""))&gt;0,"OK","CONFLICT"))</f>
        <v/>
      </c>
    </row>
    <row r="46" ht="15" customHeight="1" s="107">
      <c r="A46" s="110" t="n">
        <v>45</v>
      </c>
      <c r="B46" s="110" t="n">
        <v>4</v>
      </c>
      <c r="C46" s="111" t="inlineStr">
        <is>
          <t>11:00</t>
        </is>
      </c>
      <c r="D46" s="111" t="inlineStr">
        <is>
          <t>12:30</t>
        </is>
      </c>
      <c r="E46" s="112" t="inlineStr">
        <is>
          <t>Presentation Mastery</t>
        </is>
      </c>
      <c r="F46" s="113" t="inlineStr">
        <is>
          <t>Tom Bradley</t>
        </is>
      </c>
      <c r="G46" s="113" t="inlineStr">
        <is>
          <t>Room A1</t>
        </is>
      </c>
      <c r="H46" s="113" t="inlineStr">
        <is>
          <t>Leadership</t>
        </is>
      </c>
      <c r="I46" s="113" t="inlineStr">
        <is>
          <t>Leadership</t>
        </is>
      </c>
      <c r="J46" s="114" t="n">
        <v>42</v>
      </c>
      <c r="K46" s="114" t="n">
        <v>29</v>
      </c>
      <c r="S46" s="115">
        <f>IF(OR(G46="",B46="",C46=""),"",IF(SUMPRODUCT(('Room Management'!$A$4:$A$103="D"&amp;B46)*('Room Management'!$B$4:$B$103=C46)*(INDEX('Room Management'!$C$4:$M$103,0,MATCH(G46,'Room Management'!$C$2:$M$2,0))&lt;&gt;""))&gt;0,"OK","CONFLICT"))</f>
        <v/>
      </c>
    </row>
    <row r="47" ht="15" customHeight="1" s="107">
      <c r="A47" s="116" t="n">
        <v>46</v>
      </c>
      <c r="B47" s="116" t="n">
        <v>4</v>
      </c>
      <c r="C47" s="117" t="inlineStr">
        <is>
          <t>11:00</t>
        </is>
      </c>
      <c r="D47" s="117" t="inlineStr">
        <is>
          <t>12:30</t>
        </is>
      </c>
      <c r="E47" s="118" t="inlineStr">
        <is>
          <t>Testing Strategies</t>
        </is>
      </c>
      <c r="F47" s="119" t="inlineStr">
        <is>
          <t>Priya Sharma</t>
        </is>
      </c>
      <c r="G47" s="119" t="inlineStr">
        <is>
          <t>Room B1</t>
        </is>
      </c>
      <c r="H47" s="119" t="inlineStr">
        <is>
          <t>Technical</t>
        </is>
      </c>
      <c r="I47" s="119" t="inlineStr">
        <is>
          <t>Technical</t>
        </is>
      </c>
      <c r="J47" s="114" t="n">
        <v>46</v>
      </c>
      <c r="K47" s="114" t="n">
        <v>32</v>
      </c>
      <c r="S47" s="115">
        <f>IF(OR(G47="",B47="",C47=""),"",IF(SUMPRODUCT(('Room Management'!$A$4:$A$103="D"&amp;B47)*('Room Management'!$B$4:$B$103=C47)*(INDEX('Room Management'!$C$4:$M$103,0,MATCH(G47,'Room Management'!$C$2:$M$2,0))&lt;&gt;""))&gt;0,"OK","CONFLICT"))</f>
        <v/>
      </c>
    </row>
    <row r="48" ht="15" customHeight="1" s="107">
      <c r="A48" s="110" t="n">
        <v>47</v>
      </c>
      <c r="B48" s="110" t="n">
        <v>4</v>
      </c>
      <c r="C48" s="111" t="inlineStr">
        <is>
          <t>11:00</t>
        </is>
      </c>
      <c r="D48" s="111" t="inlineStr">
        <is>
          <t>12:30</t>
        </is>
      </c>
      <c r="E48" s="112" t="inlineStr">
        <is>
          <t>Design Critiques</t>
        </is>
      </c>
      <c r="F48" s="113" t="inlineStr">
        <is>
          <t>Yuki Tanaka</t>
        </is>
      </c>
      <c r="G48" s="113" t="inlineStr">
        <is>
          <t>Room C1</t>
        </is>
      </c>
      <c r="H48" s="113" t="inlineStr">
        <is>
          <t>Design Thinking</t>
        </is>
      </c>
      <c r="I48" s="113" t="inlineStr">
        <is>
          <t>Design Thinking</t>
        </is>
      </c>
      <c r="J48" s="114" t="n">
        <v>34</v>
      </c>
      <c r="K48" s="114" t="n">
        <v>23</v>
      </c>
      <c r="S48" s="115">
        <f>IF(OR(G48="",B48="",C48=""),"",IF(SUMPRODUCT(('Room Management'!$A$4:$A$103="D"&amp;B48)*('Room Management'!$B$4:$B$103=C48)*(INDEX('Room Management'!$C$4:$M$103,0,MATCH(G48,'Room Management'!$C$2:$M$2,0))&lt;&gt;""))&gt;0,"OK","CONFLICT"))</f>
        <v/>
      </c>
    </row>
    <row r="49" ht="15" customHeight="1" s="107">
      <c r="A49" s="116" t="n">
        <v>48</v>
      </c>
      <c r="B49" s="116" t="n">
        <v>4</v>
      </c>
      <c r="C49" s="117" t="inlineStr">
        <is>
          <t>11:00</t>
        </is>
      </c>
      <c r="D49" s="117" t="inlineStr">
        <is>
          <t>12:30</t>
        </is>
      </c>
      <c r="E49" s="118" t="inlineStr">
        <is>
          <t>Process Automation</t>
        </is>
      </c>
      <c r="F49" s="119" t="inlineStr">
        <is>
          <t>Nina Petrov</t>
        </is>
      </c>
      <c r="G49" s="119" t="inlineStr">
        <is>
          <t>Room D1</t>
        </is>
      </c>
      <c r="H49" s="119" t="inlineStr">
        <is>
          <t>Operations</t>
        </is>
      </c>
      <c r="I49" s="119" t="inlineStr">
        <is>
          <t>Operations</t>
        </is>
      </c>
      <c r="J49" s="114" t="n">
        <v>30</v>
      </c>
      <c r="K49" s="114" t="n">
        <v>21</v>
      </c>
      <c r="S49" s="115">
        <f>IF(OR(G49="",B49="",C49=""),"",IF(SUMPRODUCT(('Room Management'!$A$4:$A$103="D"&amp;B49)*('Room Management'!$B$4:$B$103=C49)*(INDEX('Room Management'!$C$4:$M$103,0,MATCH(G49,'Room Management'!$C$2:$M$2,0))&lt;&gt;""))&gt;0,"OK","CONFLICT"))</f>
        <v/>
      </c>
    </row>
    <row r="50" ht="15" customHeight="1" s="107">
      <c r="A50" s="110" t="n">
        <v>49</v>
      </c>
      <c r="B50" s="110" t="n">
        <v>4</v>
      </c>
      <c r="C50" s="111" t="inlineStr">
        <is>
          <t>12:30</t>
        </is>
      </c>
      <c r="D50" s="111" t="inlineStr">
        <is>
          <t>13:30</t>
        </is>
      </c>
      <c r="E50" s="112" t="inlineStr">
        <is>
          <t>Lunch &amp; Networking</t>
        </is>
      </c>
      <c r="F50" s="113" t="n"/>
      <c r="G50" s="113" t="inlineStr">
        <is>
          <t>Atrium</t>
        </is>
      </c>
      <c r="H50" s="113" t="inlineStr">
        <is>
          <t>Break</t>
        </is>
      </c>
      <c r="I50" s="113" t="inlineStr">
        <is>
          <t>all</t>
        </is>
      </c>
      <c r="J50" s="114" t="n">
        <v>200</v>
      </c>
      <c r="K50" s="114" t="n">
        <v>200</v>
      </c>
      <c r="S50" s="115">
        <f>IF(OR(G50="",B50="",C50=""),"",IF(SUMPRODUCT(('Room Management'!$A$4:$A$103="D"&amp;B50)*('Room Management'!$B$4:$B$103=C50)*(INDEX('Room Management'!$C$4:$M$103,0,MATCH(G50,'Room Management'!$C$2:$M$2,0))&lt;&gt;""))&gt;0,"OK","CONFLICT"))</f>
        <v/>
      </c>
    </row>
    <row r="51" ht="15" customHeight="1" s="107">
      <c r="A51" s="116" t="n">
        <v>50</v>
      </c>
      <c r="B51" s="116" t="n">
        <v>4</v>
      </c>
      <c r="C51" s="117" t="inlineStr">
        <is>
          <t>13:30</t>
        </is>
      </c>
      <c r="D51" s="117" t="inlineStr">
        <is>
          <t>15:00</t>
        </is>
      </c>
      <c r="E51" s="118" t="inlineStr">
        <is>
          <t>Succession Planning</t>
        </is>
      </c>
      <c r="F51" s="119" t="inlineStr">
        <is>
          <t>Aisha Johnson</t>
        </is>
      </c>
      <c r="G51" s="119" t="inlineStr">
        <is>
          <t>Room A1</t>
        </is>
      </c>
      <c r="H51" s="119" t="inlineStr">
        <is>
          <t>Leadership</t>
        </is>
      </c>
      <c r="I51" s="119" t="inlineStr">
        <is>
          <t>Leadership</t>
        </is>
      </c>
      <c r="J51" s="114" t="n">
        <v>38</v>
      </c>
      <c r="K51" s="114" t="n">
        <v>26</v>
      </c>
      <c r="S51" s="115">
        <f>IF(OR(G51="",B51="",C51=""),"",IF(SUMPRODUCT(('Room Management'!$A$4:$A$103="D"&amp;B51)*('Room Management'!$B$4:$B$103=C51)*(INDEX('Room Management'!$C$4:$M$103,0,MATCH(G51,'Room Management'!$C$2:$M$2,0))&lt;&gt;""))&gt;0,"OK","CONFLICT"))</f>
        <v/>
      </c>
    </row>
    <row r="52" ht="15" customHeight="1" s="107">
      <c r="A52" s="110" t="n">
        <v>51</v>
      </c>
      <c r="B52" s="110" t="n">
        <v>4</v>
      </c>
      <c r="C52" s="111" t="inlineStr">
        <is>
          <t>13:30</t>
        </is>
      </c>
      <c r="D52" s="111" t="inlineStr">
        <is>
          <t>15:00</t>
        </is>
      </c>
      <c r="E52" s="112" t="inlineStr">
        <is>
          <t>Code Review Culture</t>
        </is>
      </c>
      <c r="F52" s="113" t="inlineStr">
        <is>
          <t>Alex Novak</t>
        </is>
      </c>
      <c r="G52" s="113" t="inlineStr">
        <is>
          <t>Room B1</t>
        </is>
      </c>
      <c r="H52" s="113" t="inlineStr">
        <is>
          <t>Technical</t>
        </is>
      </c>
      <c r="I52" s="113" t="inlineStr">
        <is>
          <t>Technical</t>
        </is>
      </c>
      <c r="J52" s="114" t="n">
        <v>44</v>
      </c>
      <c r="K52" s="114" t="n">
        <v>30</v>
      </c>
      <c r="S52" s="115">
        <f>IF(OR(G52="",B52="",C52=""),"",IF(SUMPRODUCT(('Room Management'!$A$4:$A$103="D"&amp;B52)*('Room Management'!$B$4:$B$103=C52)*(INDEX('Room Management'!$C$4:$M$103,0,MATCH(G52,'Room Management'!$C$2:$M$2,0))&lt;&gt;""))&gt;0,"OK","CONFLICT"))</f>
        <v/>
      </c>
    </row>
    <row r="53" ht="15" customHeight="1" s="107">
      <c r="A53" s="116" t="n">
        <v>52</v>
      </c>
      <c r="B53" s="116" t="n">
        <v>4</v>
      </c>
      <c r="C53" s="117" t="inlineStr">
        <is>
          <t>13:30</t>
        </is>
      </c>
      <c r="D53" s="117" t="inlineStr">
        <is>
          <t>15:00</t>
        </is>
      </c>
      <c r="E53" s="118" t="inlineStr">
        <is>
          <t>Design Handoff</t>
        </is>
      </c>
      <c r="F53" s="119" t="inlineStr">
        <is>
          <t>Lena Müller</t>
        </is>
      </c>
      <c r="G53" s="119" t="inlineStr">
        <is>
          <t>Room C1</t>
        </is>
      </c>
      <c r="H53" s="119" t="inlineStr">
        <is>
          <t>Design Thinking</t>
        </is>
      </c>
      <c r="I53" s="119" t="inlineStr">
        <is>
          <t>Design Thinking</t>
        </is>
      </c>
      <c r="J53" s="114" t="n">
        <v>32</v>
      </c>
      <c r="K53" s="114" t="n">
        <v>22</v>
      </c>
      <c r="S53" s="115">
        <f>IF(OR(G53="",B53="",C53=""),"",IF(SUMPRODUCT(('Room Management'!$A$4:$A$103="D"&amp;B53)*('Room Management'!$B$4:$B$103=C53)*(INDEX('Room Management'!$C$4:$M$103,0,MATCH(G53,'Room Management'!$C$2:$M$2,0))&lt;&gt;""))&gt;0,"OK","CONFLICT"))</f>
        <v/>
      </c>
    </row>
    <row r="54" ht="15" customHeight="1" s="107">
      <c r="A54" s="110" t="n">
        <v>53</v>
      </c>
      <c r="B54" s="110" t="n">
        <v>4</v>
      </c>
      <c r="C54" s="111" t="inlineStr">
        <is>
          <t>13:30</t>
        </is>
      </c>
      <c r="D54" s="111" t="inlineStr">
        <is>
          <t>15:00</t>
        </is>
      </c>
      <c r="E54" s="112" t="inlineStr">
        <is>
          <t>KPI Dashboards</t>
        </is>
      </c>
      <c r="F54" s="113" t="inlineStr">
        <is>
          <t>Rachel Green</t>
        </is>
      </c>
      <c r="G54" s="113" t="inlineStr">
        <is>
          <t>Room D1</t>
        </is>
      </c>
      <c r="H54" s="113" t="inlineStr">
        <is>
          <t>Operations</t>
        </is>
      </c>
      <c r="I54" s="113" t="inlineStr">
        <is>
          <t>Operations</t>
        </is>
      </c>
      <c r="J54" s="114" t="n">
        <v>28</v>
      </c>
      <c r="K54" s="114" t="n">
        <v>19</v>
      </c>
      <c r="S54" s="115">
        <f>IF(OR(G54="",B54="",C54=""),"",IF(SUMPRODUCT(('Room Management'!$A$4:$A$103="D"&amp;B54)*('Room Management'!$B$4:$B$103=C54)*(INDEX('Room Management'!$C$4:$M$103,0,MATCH(G54,'Room Management'!$C$2:$M$2,0))&lt;&gt;""))&gt;0,"OK","CONFLICT"))</f>
        <v/>
      </c>
    </row>
    <row r="55" ht="15" customHeight="1" s="107">
      <c r="A55" s="116" t="n">
        <v>54</v>
      </c>
      <c r="B55" s="116" t="n">
        <v>4</v>
      </c>
      <c r="C55" s="117" t="inlineStr">
        <is>
          <t>15:00</t>
        </is>
      </c>
      <c r="D55" s="117" t="inlineStr">
        <is>
          <t>15:30</t>
        </is>
      </c>
      <c r="E55" s="118" t="inlineStr">
        <is>
          <t>Afternoon Break</t>
        </is>
      </c>
      <c r="F55" s="119" t="n"/>
      <c r="G55" s="119" t="inlineStr">
        <is>
          <t>Atrium</t>
        </is>
      </c>
      <c r="H55" s="119" t="inlineStr">
        <is>
          <t>Break</t>
        </is>
      </c>
      <c r="I55" s="119" t="inlineStr">
        <is>
          <t>all</t>
        </is>
      </c>
      <c r="J55" s="114" t="n">
        <v>200</v>
      </c>
      <c r="K55" s="114" t="n">
        <v>200</v>
      </c>
      <c r="S55" s="115">
        <f>IF(OR(G55="",B55="",C55=""),"",IF(SUMPRODUCT(('Room Management'!$A$4:$A$103="D"&amp;B55)*('Room Management'!$B$4:$B$103=C55)*(INDEX('Room Management'!$C$4:$M$103,0,MATCH(G55,'Room Management'!$C$2:$M$2,0))&lt;&gt;""))&gt;0,"OK","CONFLICT"))</f>
        <v/>
      </c>
    </row>
    <row r="56" ht="15" customHeight="1" s="107">
      <c r="A56" s="110" t="n">
        <v>55</v>
      </c>
      <c r="B56" s="110" t="n">
        <v>4</v>
      </c>
      <c r="C56" s="111" t="inlineStr">
        <is>
          <t>15:30</t>
        </is>
      </c>
      <c r="D56" s="111" t="inlineStr">
        <is>
          <t>17:00</t>
        </is>
      </c>
      <c r="E56" s="112" t="inlineStr">
        <is>
          <t>Hackathon Presentations</t>
        </is>
      </c>
      <c r="F56" s="113" t="inlineStr">
        <is>
          <t>Selected Teams</t>
        </is>
      </c>
      <c r="G56" s="113" t="inlineStr">
        <is>
          <t>Main Hall</t>
        </is>
      </c>
      <c r="H56" s="113" t="inlineStr">
        <is>
          <t>Keynote</t>
        </is>
      </c>
      <c r="I56" s="113" t="inlineStr">
        <is>
          <t>all</t>
        </is>
      </c>
      <c r="J56" s="114" t="n">
        <v>200</v>
      </c>
      <c r="K56" s="114" t="n">
        <v>140</v>
      </c>
      <c r="S56" s="115">
        <f>IF(OR(G56="",B56="",C56=""),"",IF(SUMPRODUCT(('Room Management'!$A$4:$A$103="D"&amp;B56)*('Room Management'!$B$4:$B$103=C56)*(INDEX('Room Management'!$C$4:$M$103,0,MATCH(G56,'Room Management'!$C$2:$M$2,0))&lt;&gt;""))&gt;0,"OK","CONFLICT"))</f>
        <v/>
      </c>
    </row>
    <row r="57" ht="15" customHeight="1" s="107">
      <c r="A57" s="116" t="n">
        <v>56</v>
      </c>
      <c r="B57" s="116" t="n">
        <v>5</v>
      </c>
      <c r="C57" s="117" t="inlineStr">
        <is>
          <t>09:00</t>
        </is>
      </c>
      <c r="D57" s="117" t="inlineStr">
        <is>
          <t>10:30</t>
        </is>
      </c>
      <c r="E57" s="118" t="inlineStr">
        <is>
          <t>Personal Action Plans</t>
        </is>
      </c>
      <c r="F57" s="119" t="inlineStr">
        <is>
          <t>Mark Torres</t>
        </is>
      </c>
      <c r="G57" s="119" t="inlineStr">
        <is>
          <t>Room A1</t>
        </is>
      </c>
      <c r="H57" s="119" t="inlineStr">
        <is>
          <t>Leadership</t>
        </is>
      </c>
      <c r="I57" s="119" t="inlineStr">
        <is>
          <t>Leadership</t>
        </is>
      </c>
      <c r="J57" s="114" t="n">
        <v>40</v>
      </c>
      <c r="K57" s="114" t="n">
        <v>28</v>
      </c>
      <c r="S57" s="115">
        <f>IF(OR(G57="",B57="",C57=""),"",IF(SUMPRODUCT(('Room Management'!$A$4:$A$103="D"&amp;B57)*('Room Management'!$B$4:$B$103=C57)*(INDEX('Room Management'!$C$4:$M$103,0,MATCH(G57,'Room Management'!$C$2:$M$2,0))&lt;&gt;""))&gt;0,"OK","CONFLICT"))</f>
        <v/>
      </c>
    </row>
    <row r="58" ht="15" customHeight="1" s="107">
      <c r="A58" s="110" t="n">
        <v>57</v>
      </c>
      <c r="B58" s="110" t="n">
        <v>5</v>
      </c>
      <c r="C58" s="111" t="inlineStr">
        <is>
          <t>09:00</t>
        </is>
      </c>
      <c r="D58" s="111" t="inlineStr">
        <is>
          <t>10:30</t>
        </is>
      </c>
      <c r="E58" s="112" t="inlineStr">
        <is>
          <t>Tech Roadmapping</t>
        </is>
      </c>
      <c r="F58" s="113" t="inlineStr">
        <is>
          <t>David Kim</t>
        </is>
      </c>
      <c r="G58" s="113" t="inlineStr">
        <is>
          <t>Room B1</t>
        </is>
      </c>
      <c r="H58" s="113" t="inlineStr">
        <is>
          <t>Technical</t>
        </is>
      </c>
      <c r="I58" s="113" t="inlineStr">
        <is>
          <t>Technical</t>
        </is>
      </c>
      <c r="J58" s="114" t="n">
        <v>46</v>
      </c>
      <c r="K58" s="114" t="n">
        <v>32</v>
      </c>
      <c r="S58" s="115">
        <f>IF(OR(G58="",B58="",C58=""),"",IF(SUMPRODUCT(('Room Management'!$A$4:$A$103="D"&amp;B58)*('Room Management'!$B$4:$B$103=C58)*(INDEX('Room Management'!$C$4:$M$103,0,MATCH(G58,'Room Management'!$C$2:$M$2,0))&lt;&gt;""))&gt;0,"OK","CONFLICT"))</f>
        <v/>
      </c>
    </row>
    <row r="59" ht="15" customHeight="1" s="107">
      <c r="A59" s="116" t="n">
        <v>58</v>
      </c>
      <c r="B59" s="116" t="n">
        <v>5</v>
      </c>
      <c r="C59" s="117" t="inlineStr">
        <is>
          <t>09:00</t>
        </is>
      </c>
      <c r="D59" s="117" t="inlineStr">
        <is>
          <t>10:30</t>
        </is>
      </c>
      <c r="E59" s="118" t="inlineStr">
        <is>
          <t>Portfolio Building</t>
        </is>
      </c>
      <c r="F59" s="119" t="inlineStr">
        <is>
          <t>Carlos Ruiz</t>
        </is>
      </c>
      <c r="G59" s="119" t="inlineStr">
        <is>
          <t>Room C1</t>
        </is>
      </c>
      <c r="H59" s="119" t="inlineStr">
        <is>
          <t>Design Thinking</t>
        </is>
      </c>
      <c r="I59" s="119" t="inlineStr">
        <is>
          <t>Design Thinking</t>
        </is>
      </c>
      <c r="J59" s="114" t="n">
        <v>34</v>
      </c>
      <c r="K59" s="114" t="n">
        <v>23</v>
      </c>
      <c r="S59" s="115">
        <f>IF(OR(G59="",B59="",C59=""),"",IF(SUMPRODUCT(('Room Management'!$A$4:$A$103="D"&amp;B59)*('Room Management'!$B$4:$B$103=C59)*(INDEX('Room Management'!$C$4:$M$103,0,MATCH(G59,'Room Management'!$C$2:$M$2,0))&lt;&gt;""))&gt;0,"OK","CONFLICT"))</f>
        <v/>
      </c>
    </row>
    <row r="60" ht="15" customHeight="1" s="107">
      <c r="A60" s="110" t="n">
        <v>59</v>
      </c>
      <c r="B60" s="110" t="n">
        <v>5</v>
      </c>
      <c r="C60" s="111" t="inlineStr">
        <is>
          <t>09:00</t>
        </is>
      </c>
      <c r="D60" s="111" t="inlineStr">
        <is>
          <t>10:30</t>
        </is>
      </c>
      <c r="E60" s="112" t="inlineStr">
        <is>
          <t>Continuous Improvement</t>
        </is>
      </c>
      <c r="F60" s="113" t="inlineStr">
        <is>
          <t>James Wright</t>
        </is>
      </c>
      <c r="G60" s="113" t="inlineStr">
        <is>
          <t>Room D1</t>
        </is>
      </c>
      <c r="H60" s="113" t="inlineStr">
        <is>
          <t>Operations</t>
        </is>
      </c>
      <c r="I60" s="113" t="inlineStr">
        <is>
          <t>Operations</t>
        </is>
      </c>
      <c r="J60" s="114" t="n">
        <v>30</v>
      </c>
      <c r="K60" s="114" t="n">
        <v>21</v>
      </c>
      <c r="S60" s="115">
        <f>IF(OR(G60="",B60="",C60=""),"",IF(SUMPRODUCT(('Room Management'!$A$4:$A$103="D"&amp;B60)*('Room Management'!$B$4:$B$103=C60)*(INDEX('Room Management'!$C$4:$M$103,0,MATCH(G60,'Room Management'!$C$2:$M$2,0))&lt;&gt;""))&gt;0,"OK","CONFLICT"))</f>
        <v/>
      </c>
    </row>
    <row r="61" ht="15" customHeight="1" s="107">
      <c r="A61" s="116" t="n">
        <v>60</v>
      </c>
      <c r="B61" s="116" t="n">
        <v>5</v>
      </c>
      <c r="C61" s="117" t="inlineStr">
        <is>
          <t>10:30</t>
        </is>
      </c>
      <c r="D61" s="117" t="inlineStr">
        <is>
          <t>11:00</t>
        </is>
      </c>
      <c r="E61" s="118" t="inlineStr">
        <is>
          <t>Morning Break</t>
        </is>
      </c>
      <c r="F61" s="119" t="n"/>
      <c r="G61" s="119" t="inlineStr">
        <is>
          <t>Atrium</t>
        </is>
      </c>
      <c r="H61" s="119" t="inlineStr">
        <is>
          <t>Break</t>
        </is>
      </c>
      <c r="I61" s="119" t="inlineStr">
        <is>
          <t>all</t>
        </is>
      </c>
      <c r="J61" s="114" t="n">
        <v>200</v>
      </c>
      <c r="K61" s="114" t="n">
        <v>200</v>
      </c>
      <c r="S61" s="115">
        <f>IF(OR(G61="",B61="",C61=""),"",IF(SUMPRODUCT(('Room Management'!$A$4:$A$103="D"&amp;B61)*('Room Management'!$B$4:$B$103=C61)*(INDEX('Room Management'!$C$4:$M$103,0,MATCH(G61,'Room Management'!$C$2:$M$2,0))&lt;&gt;""))&gt;0,"OK","CONFLICT"))</f>
        <v/>
      </c>
    </row>
    <row r="62" ht="15" customHeight="1" s="107">
      <c r="A62" s="110" t="n">
        <v>61</v>
      </c>
      <c r="B62" s="110" t="n">
        <v>5</v>
      </c>
      <c r="C62" s="111" t="inlineStr">
        <is>
          <t>11:00</t>
        </is>
      </c>
      <c r="D62" s="111" t="inlineStr">
        <is>
          <t>12:00</t>
        </is>
      </c>
      <c r="E62" s="112" t="inlineStr">
        <is>
          <t>Track Showcases</t>
        </is>
      </c>
      <c r="F62" s="113" t="inlineStr">
        <is>
          <t>Track Leads</t>
        </is>
      </c>
      <c r="G62" s="113" t="inlineStr">
        <is>
          <t>Main Hall</t>
        </is>
      </c>
      <c r="H62" s="113" t="inlineStr">
        <is>
          <t>Keynote</t>
        </is>
      </c>
      <c r="I62" s="113" t="inlineStr">
        <is>
          <t>all</t>
        </is>
      </c>
      <c r="J62" s="114" t="n">
        <v>180</v>
      </c>
      <c r="K62" s="114" t="n">
        <v>125</v>
      </c>
      <c r="S62" s="115">
        <f>IF(OR(G62="",B62="",C62=""),"",IF(SUMPRODUCT(('Room Management'!$A$4:$A$103="D"&amp;B62)*('Room Management'!$B$4:$B$103=C62)*(INDEX('Room Management'!$C$4:$M$103,0,MATCH(G62,'Room Management'!$C$2:$M$2,0))&lt;&gt;""))&gt;0,"OK","CONFLICT"))</f>
        <v/>
      </c>
    </row>
    <row r="63" ht="15" customHeight="1" s="107">
      <c r="A63" s="116" t="n">
        <v>62</v>
      </c>
      <c r="B63" s="116" t="n">
        <v>5</v>
      </c>
      <c r="C63" s="117" t="inlineStr">
        <is>
          <t>12:00</t>
        </is>
      </c>
      <c r="D63" s="117" t="inlineStr">
        <is>
          <t>13:00</t>
        </is>
      </c>
      <c r="E63" s="118" t="inlineStr">
        <is>
          <t>Farewell Lunch</t>
        </is>
      </c>
      <c r="F63" s="119" t="n"/>
      <c r="G63" s="119" t="inlineStr">
        <is>
          <t>Atrium</t>
        </is>
      </c>
      <c r="H63" s="119" t="inlineStr">
        <is>
          <t>Break</t>
        </is>
      </c>
      <c r="I63" s="119" t="inlineStr">
        <is>
          <t>all</t>
        </is>
      </c>
      <c r="J63" s="114" t="n">
        <v>200</v>
      </c>
      <c r="K63" s="114" t="n">
        <v>200</v>
      </c>
      <c r="S63" s="115">
        <f>IF(OR(G63="",B63="",C63=""),"",IF(SUMPRODUCT(('Room Management'!$A$4:$A$103="D"&amp;B63)*('Room Management'!$B$4:$B$103=C63)*(INDEX('Room Management'!$C$4:$M$103,0,MATCH(G63,'Room Management'!$C$2:$M$2,0))&lt;&gt;""))&gt;0,"OK","CONFLICT"))</f>
        <v/>
      </c>
    </row>
    <row r="64" ht="15" customHeight="1" s="107">
      <c r="A64" s="110" t="n">
        <v>63</v>
      </c>
      <c r="B64" s="110" t="n">
        <v>5</v>
      </c>
      <c r="C64" s="111" t="inlineStr">
        <is>
          <t>13:00</t>
        </is>
      </c>
      <c r="D64" s="111" t="inlineStr">
        <is>
          <t>14:00</t>
        </is>
      </c>
      <c r="E64" s="112" t="inlineStr">
        <is>
          <t>Closing Keynote &amp; Awards</t>
        </is>
      </c>
      <c r="F64" s="113" t="inlineStr">
        <is>
          <t>Dr. Sarah Chen</t>
        </is>
      </c>
      <c r="G64" s="113" t="inlineStr">
        <is>
          <t>Main Hall</t>
        </is>
      </c>
      <c r="H64" s="113" t="inlineStr">
        <is>
          <t>Keynote</t>
        </is>
      </c>
      <c r="I64" s="113" t="inlineStr">
        <is>
          <t>all</t>
        </is>
      </c>
      <c r="J64" s="114" t="n">
        <v>200</v>
      </c>
      <c r="K64" s="114" t="n">
        <v>140</v>
      </c>
      <c r="S64" s="115">
        <f>IF(OR(G64="",B64="",C64=""),"",IF(SUMPRODUCT(('Room Management'!$A$4:$A$103="D"&amp;B64)*('Room Management'!$B$4:$B$103=C64)*(INDEX('Room Management'!$C$4:$M$103,0,MATCH(G64,'Room Management'!$C$2:$M$2,0))&lt;&gt;""))&gt;0,"OK","CONFLICT"))</f>
        <v/>
      </c>
    </row>
  </sheetData>
  <autoFilter ref="A1:K64"/>
  <conditionalFormatting sqref="S2:S500">
    <cfRule type="cellIs" rank="0" priority="2" equalAverage="0" operator="equal" aboveAverage="0" dxfId="8" text="" percent="0" bottom="0">
      <formula>"CONFLICT"</formula>
    </cfRule>
    <cfRule type="cellIs" rank="0" priority="3" equalAverage="0" operator="equal" aboveAverage="0" dxfId="9" text="" percent="0" bottom="0">
      <formula>"OK"</formula>
    </cfRule>
    <cfRule type="cellIs" priority="4" operator="equal" dxfId="26">
      <formula>"CONFLICT"</formula>
    </cfRule>
    <cfRule type="cellIs" priority="5" operator="equal" dxfId="27">
      <formula>"OK"</formula>
    </cfRule>
  </conditionalFormatting>
  <conditionalFormatting sqref="G2:G500">
    <cfRule type="expression" rank="0" priority="4" equalAverage="0" aboveAverage="0" dxfId="8" text="" percent="0" bottom="0">
      <formula>S2="CONFLICT"</formula>
    </cfRule>
    <cfRule type="expression" priority="6" dxfId="26">
      <formula>S2="CONFLICT"</formula>
    </cfRule>
  </conditionalFormatting>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showDropDown="0" showInputMessage="0" showErrorMessage="1" allowBlank="1" errorTitle="Invalid Room" error="Select a room from Room Management." type="list">
      <formula1>='Room Management'!$Z$2:$Z$12</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563EB"/>
    <outlinePr summaryBelow="1" summaryRight="1"/>
    <pageSetUpPr fitToPage="0"/>
  </sheetPr>
  <dimension ref="A1:P21"/>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8" customWidth="1" style="106" min="1" max="1"/>
    <col width="22" customWidth="1" style="106" min="2" max="2"/>
    <col width="28" customWidth="1" style="106" min="3" max="3"/>
    <col width="20" customWidth="1" style="106" min="4" max="4"/>
    <col width="18" customWidth="1" style="106" min="5" max="5"/>
    <col width="14" customWidth="1" style="106" min="6" max="6"/>
    <col width="10" customWidth="1" style="106" min="7" max="7"/>
    <col width="20" customWidth="1" style="106" min="8" max="8"/>
    <col width="9" customWidth="1" style="106" min="9" max="13"/>
    <col width="20" customWidth="1" style="106" min="14" max="14"/>
    <col width="16" customWidth="1" style="106" min="15" max="15"/>
    <col width="20" customWidth="1" style="106" min="16" max="16"/>
  </cols>
  <sheetData>
    <row r="1" ht="30" customHeight="1" s="107">
      <c r="A1" s="120" t="inlineStr">
        <is>
          <t>ID</t>
        </is>
      </c>
      <c r="B1" s="120" t="inlineStr">
        <is>
          <t>Username</t>
        </is>
      </c>
      <c r="C1" s="120" t="inlineStr">
        <is>
          <t>Email</t>
        </is>
      </c>
      <c r="D1" s="120" t="inlineStr">
        <is>
          <t>Department</t>
        </is>
      </c>
      <c r="E1" s="120" t="inlineStr">
        <is>
          <t>Job Title</t>
        </is>
      </c>
      <c r="F1" s="120" t="inlineStr">
        <is>
          <t>Primary
Track</t>
        </is>
      </c>
      <c r="G1" s="120" t="inlineStr">
        <is>
          <t>Non-Local</t>
        </is>
      </c>
      <c r="H1" s="120" t="inlineStr">
        <is>
          <t>Hotel</t>
        </is>
      </c>
      <c r="I1" s="120" t="inlineStr">
        <is>
          <t>Day 1</t>
        </is>
      </c>
      <c r="J1" s="120" t="inlineStr">
        <is>
          <t>Day 2</t>
        </is>
      </c>
      <c r="K1" s="120" t="inlineStr">
        <is>
          <t>Day 3</t>
        </is>
      </c>
      <c r="L1" s="120" t="inlineStr">
        <is>
          <t>Day 4</t>
        </is>
      </c>
      <c r="M1" s="120" t="inlineStr">
        <is>
          <t>Day 5</t>
        </is>
      </c>
      <c r="N1" s="120" t="inlineStr">
        <is>
          <t>Emergency
Contact</t>
        </is>
      </c>
      <c r="O1" s="120" t="inlineStr">
        <is>
          <t>Emergency
Phone</t>
        </is>
      </c>
      <c r="P1" s="120" t="inlineStr">
        <is>
          <t>Notes</t>
        </is>
      </c>
    </row>
    <row r="2" ht="15" customHeight="1" s="107">
      <c r="A2" s="110" t="inlineStr">
        <is>
          <t>P001</t>
        </is>
      </c>
      <c r="B2" s="113" t="inlineStr">
        <is>
          <t>alice.martinez</t>
        </is>
      </c>
      <c r="C2" s="113" t="inlineStr">
        <is>
          <t>alice.martinez@acme.com</t>
        </is>
      </c>
      <c r="D2" s="113" t="inlineStr">
        <is>
          <t>Product</t>
        </is>
      </c>
      <c r="E2" s="113" t="inlineStr">
        <is>
          <t>Product Manager</t>
        </is>
      </c>
      <c r="F2" s="121" t="inlineStr">
        <is>
          <t>Leadership</t>
        </is>
      </c>
      <c r="G2" s="122" t="inlineStr">
        <is>
          <t>Local</t>
        </is>
      </c>
      <c r="H2" s="113" t="n"/>
      <c r="I2" s="110" t="inlineStr">
        <is>
          <t>Yes</t>
        </is>
      </c>
      <c r="J2" s="110" t="inlineStr">
        <is>
          <t>Yes</t>
        </is>
      </c>
      <c r="K2" s="110" t="inlineStr">
        <is>
          <t>Yes</t>
        </is>
      </c>
      <c r="L2" s="110" t="inlineStr">
        <is>
          <t>Yes</t>
        </is>
      </c>
      <c r="M2" s="110" t="inlineStr">
        <is>
          <t>Yes</t>
        </is>
      </c>
      <c r="N2" s="112" t="inlineStr">
        <is>
          <t>John Martinez</t>
        </is>
      </c>
      <c r="O2" s="112" t="inlineStr">
        <is>
          <t>+1-555-0101</t>
        </is>
      </c>
      <c r="P2" s="112" t="n"/>
    </row>
    <row r="3" ht="15" customHeight="1" s="107">
      <c r="A3" s="116" t="inlineStr">
        <is>
          <t>P002</t>
        </is>
      </c>
      <c r="B3" s="119" t="inlineStr">
        <is>
          <t>ben.okafor</t>
        </is>
      </c>
      <c r="C3" s="119" t="inlineStr">
        <is>
          <t>ben.okafor@techstart.io</t>
        </is>
      </c>
      <c r="D3" s="119" t="inlineStr">
        <is>
          <t>Engineering</t>
        </is>
      </c>
      <c r="E3" s="119" t="inlineStr">
        <is>
          <t>Senior Developer</t>
        </is>
      </c>
      <c r="F3" s="123" t="inlineStr">
        <is>
          <t>Technical</t>
        </is>
      </c>
      <c r="G3" s="124" t="inlineStr">
        <is>
          <t>Non-Local</t>
        </is>
      </c>
      <c r="H3" s="125" t="inlineStr">
        <is>
          <t>Hilton Downtown</t>
        </is>
      </c>
      <c r="I3" s="116" t="inlineStr">
        <is>
          <t>Yes</t>
        </is>
      </c>
      <c r="J3" s="116" t="inlineStr">
        <is>
          <t>Yes</t>
        </is>
      </c>
      <c r="K3" s="116" t="inlineStr">
        <is>
          <t>Yes</t>
        </is>
      </c>
      <c r="L3" s="116" t="inlineStr">
        <is>
          <t>Yes</t>
        </is>
      </c>
      <c r="M3" s="116" t="inlineStr">
        <is>
          <t>No</t>
        </is>
      </c>
      <c r="N3" s="118" t="inlineStr">
        <is>
          <t>Mary Okafor</t>
        </is>
      </c>
      <c r="O3" s="118" t="inlineStr">
        <is>
          <t>+1-555-0102</t>
        </is>
      </c>
      <c r="P3" s="118" t="n"/>
    </row>
    <row r="4" ht="15" customHeight="1" s="107">
      <c r="A4" s="110" t="inlineStr">
        <is>
          <t>P003</t>
        </is>
      </c>
      <c r="B4" s="113" t="inlineStr">
        <is>
          <t>clara.johansson</t>
        </is>
      </c>
      <c r="C4" s="113" t="inlineStr">
        <is>
          <t>clara.j@nordicdesign.se</t>
        </is>
      </c>
      <c r="D4" s="113" t="inlineStr">
        <is>
          <t>Design</t>
        </is>
      </c>
      <c r="E4" s="113" t="inlineStr">
        <is>
          <t>UX Lead</t>
        </is>
      </c>
      <c r="F4" s="126" t="inlineStr">
        <is>
          <t>Design Thinking</t>
        </is>
      </c>
      <c r="G4" s="124" t="inlineStr">
        <is>
          <t>Non-Local</t>
        </is>
      </c>
      <c r="H4" s="127" t="inlineStr">
        <is>
          <t>Marriott Convention</t>
        </is>
      </c>
      <c r="I4" s="110" t="inlineStr">
        <is>
          <t>Yes</t>
        </is>
      </c>
      <c r="J4" s="110" t="inlineStr">
        <is>
          <t>Yes</t>
        </is>
      </c>
      <c r="K4" s="110" t="inlineStr">
        <is>
          <t>Yes</t>
        </is>
      </c>
      <c r="L4" s="110" t="inlineStr">
        <is>
          <t>Yes</t>
        </is>
      </c>
      <c r="M4" s="110" t="inlineStr">
        <is>
          <t>Yes</t>
        </is>
      </c>
      <c r="N4" s="112" t="inlineStr">
        <is>
          <t>Erik Johansson</t>
        </is>
      </c>
      <c r="O4" s="112" t="inlineStr">
        <is>
          <t>+46-70-555-0103</t>
        </is>
      </c>
      <c r="P4" s="112" t="n"/>
    </row>
    <row r="5" ht="15" customHeight="1" s="107">
      <c r="A5" s="116" t="inlineStr">
        <is>
          <t>P004</t>
        </is>
      </c>
      <c r="B5" s="119" t="inlineStr">
        <is>
          <t>daniel.park</t>
        </is>
      </c>
      <c r="C5" s="119" t="inlineStr">
        <is>
          <t>d.park@globalops.com</t>
        </is>
      </c>
      <c r="D5" s="119" t="inlineStr">
        <is>
          <t>Operations</t>
        </is>
      </c>
      <c r="E5" s="119" t="inlineStr">
        <is>
          <t>Ops Director</t>
        </is>
      </c>
      <c r="F5" s="128" t="inlineStr">
        <is>
          <t>Operations</t>
        </is>
      </c>
      <c r="G5" s="122" t="inlineStr">
        <is>
          <t>Local</t>
        </is>
      </c>
      <c r="H5" s="119" t="n"/>
      <c r="I5" s="116" t="inlineStr">
        <is>
          <t>Yes</t>
        </is>
      </c>
      <c r="J5" s="116" t="inlineStr">
        <is>
          <t>No</t>
        </is>
      </c>
      <c r="K5" s="116" t="inlineStr">
        <is>
          <t>Yes</t>
        </is>
      </c>
      <c r="L5" s="116" t="inlineStr">
        <is>
          <t>Yes</t>
        </is>
      </c>
      <c r="M5" s="116" t="inlineStr">
        <is>
          <t>Yes</t>
        </is>
      </c>
      <c r="N5" s="118" t="inlineStr">
        <is>
          <t>Soo-Min Park</t>
        </is>
      </c>
      <c r="O5" s="118" t="inlineStr">
        <is>
          <t>+1-555-0104</t>
        </is>
      </c>
      <c r="P5" s="118" t="n"/>
    </row>
    <row r="6" ht="15" customHeight="1" s="107">
      <c r="A6" s="110" t="inlineStr">
        <is>
          <t>P005</t>
        </is>
      </c>
      <c r="B6" s="113" t="inlineStr">
        <is>
          <t>elena.rossi</t>
        </is>
      </c>
      <c r="C6" s="113" t="inlineStr">
        <is>
          <t>e.rossi@finserv.it</t>
        </is>
      </c>
      <c r="D6" s="113" t="inlineStr">
        <is>
          <t>Strategy</t>
        </is>
      </c>
      <c r="E6" s="113" t="inlineStr">
        <is>
          <t>Team Lead</t>
        </is>
      </c>
      <c r="F6" s="121" t="inlineStr">
        <is>
          <t>Leadership</t>
        </is>
      </c>
      <c r="G6" s="124" t="inlineStr">
        <is>
          <t>Non-Local</t>
        </is>
      </c>
      <c r="H6" s="127" t="inlineStr">
        <is>
          <t>Hyatt Regency</t>
        </is>
      </c>
      <c r="I6" s="110" t="inlineStr">
        <is>
          <t>Yes</t>
        </is>
      </c>
      <c r="J6" s="110" t="inlineStr">
        <is>
          <t>Yes</t>
        </is>
      </c>
      <c r="K6" s="110" t="inlineStr">
        <is>
          <t>No</t>
        </is>
      </c>
      <c r="L6" s="110" t="inlineStr">
        <is>
          <t>Yes</t>
        </is>
      </c>
      <c r="M6" s="110" t="inlineStr">
        <is>
          <t>Yes</t>
        </is>
      </c>
      <c r="N6" s="112" t="inlineStr">
        <is>
          <t>Marco Rossi</t>
        </is>
      </c>
      <c r="O6" s="112" t="inlineStr">
        <is>
          <t>+39-555-0105</t>
        </is>
      </c>
      <c r="P6" s="112" t="n"/>
    </row>
    <row r="7" ht="15" customHeight="1" s="107">
      <c r="A7" s="116" t="inlineStr">
        <is>
          <t>P006</t>
        </is>
      </c>
      <c r="B7" s="119" t="inlineStr">
        <is>
          <t>fatima.alhassan</t>
        </is>
      </c>
      <c r="C7" s="119" t="inlineStr">
        <is>
          <t>f.alhassan@govtech.ae</t>
        </is>
      </c>
      <c r="D7" s="119" t="inlineStr">
        <is>
          <t>Engineering</t>
        </is>
      </c>
      <c r="E7" s="119" t="inlineStr">
        <is>
          <t>Systems Architect</t>
        </is>
      </c>
      <c r="F7" s="123" t="inlineStr">
        <is>
          <t>Technical</t>
        </is>
      </c>
      <c r="G7" s="124" t="inlineStr">
        <is>
          <t>Non-Local</t>
        </is>
      </c>
      <c r="H7" s="125" t="inlineStr">
        <is>
          <t>Hilton Downtown</t>
        </is>
      </c>
      <c r="I7" s="116" t="inlineStr">
        <is>
          <t>Yes</t>
        </is>
      </c>
      <c r="J7" s="116" t="inlineStr">
        <is>
          <t>Yes</t>
        </is>
      </c>
      <c r="K7" s="116" t="inlineStr">
        <is>
          <t>Yes</t>
        </is>
      </c>
      <c r="L7" s="116" t="inlineStr">
        <is>
          <t>Yes</t>
        </is>
      </c>
      <c r="M7" s="116" t="inlineStr">
        <is>
          <t>Yes</t>
        </is>
      </c>
      <c r="N7" s="118" t="inlineStr">
        <is>
          <t>Ahmed Al-Hassan</t>
        </is>
      </c>
      <c r="O7" s="118" t="inlineStr">
        <is>
          <t>+971-55-0106</t>
        </is>
      </c>
      <c r="P7" s="118" t="n"/>
    </row>
    <row r="8" ht="15" customHeight="1" s="107">
      <c r="A8" s="110" t="inlineStr">
        <is>
          <t>P007</t>
        </is>
      </c>
      <c r="B8" s="113" t="inlineStr">
        <is>
          <t>george.chen</t>
        </is>
      </c>
      <c r="C8" s="113" t="inlineStr">
        <is>
          <t>g.chen@startuplab.cn</t>
        </is>
      </c>
      <c r="D8" s="113" t="inlineStr">
        <is>
          <t>Design</t>
        </is>
      </c>
      <c r="E8" s="113" t="inlineStr">
        <is>
          <t>Design Director</t>
        </is>
      </c>
      <c r="F8" s="126" t="inlineStr">
        <is>
          <t>Design Thinking</t>
        </is>
      </c>
      <c r="G8" s="124" t="inlineStr">
        <is>
          <t>Non-Local</t>
        </is>
      </c>
      <c r="H8" s="127" t="inlineStr">
        <is>
          <t>Marriott Convention</t>
        </is>
      </c>
      <c r="I8" s="110" t="inlineStr">
        <is>
          <t>Yes</t>
        </is>
      </c>
      <c r="J8" s="110" t="inlineStr">
        <is>
          <t>Yes</t>
        </is>
      </c>
      <c r="K8" s="110" t="inlineStr">
        <is>
          <t>Yes</t>
        </is>
      </c>
      <c r="L8" s="110" t="inlineStr">
        <is>
          <t>No</t>
        </is>
      </c>
      <c r="M8" s="110" t="inlineStr">
        <is>
          <t>Yes</t>
        </is>
      </c>
      <c r="N8" s="112" t="inlineStr">
        <is>
          <t>Wei Chen</t>
        </is>
      </c>
      <c r="O8" s="112" t="inlineStr">
        <is>
          <t>+86-138-0107</t>
        </is>
      </c>
      <c r="P8" s="112" t="n"/>
    </row>
    <row r="9" ht="15" customHeight="1" s="107">
      <c r="A9" s="116" t="inlineStr">
        <is>
          <t>P008</t>
        </is>
      </c>
      <c r="B9" s="119" t="inlineStr">
        <is>
          <t>hannah.weber</t>
        </is>
      </c>
      <c r="C9" s="119" t="inlineStr">
        <is>
          <t>h.weber@logicorp.de</t>
        </is>
      </c>
      <c r="D9" s="119" t="inlineStr">
        <is>
          <t>Operations</t>
        </is>
      </c>
      <c r="E9" s="119" t="inlineStr">
        <is>
          <t>Process Engineer</t>
        </is>
      </c>
      <c r="F9" s="128" t="inlineStr">
        <is>
          <t>Operations</t>
        </is>
      </c>
      <c r="G9" s="124" t="inlineStr">
        <is>
          <t>Non-Local</t>
        </is>
      </c>
      <c r="H9" s="125" t="inlineStr">
        <is>
          <t>Holiday Inn Express</t>
        </is>
      </c>
      <c r="I9" s="116" t="inlineStr">
        <is>
          <t>Yes</t>
        </is>
      </c>
      <c r="J9" s="116" t="inlineStr">
        <is>
          <t>Yes</t>
        </is>
      </c>
      <c r="K9" s="116" t="inlineStr">
        <is>
          <t>Yes</t>
        </is>
      </c>
      <c r="L9" s="116" t="inlineStr">
        <is>
          <t>Yes</t>
        </is>
      </c>
      <c r="M9" s="116" t="inlineStr">
        <is>
          <t>Yes</t>
        </is>
      </c>
      <c r="N9" s="118" t="inlineStr">
        <is>
          <t>Thomas Weber</t>
        </is>
      </c>
      <c r="O9" s="118" t="inlineStr">
        <is>
          <t>+49-170-0108</t>
        </is>
      </c>
      <c r="P9" s="118" t="n"/>
    </row>
    <row r="10" ht="15" customHeight="1" s="107">
      <c r="A10" s="110" t="inlineStr">
        <is>
          <t>P009</t>
        </is>
      </c>
      <c r="B10" s="113" t="inlineStr">
        <is>
          <t>ibrahim.diallo</t>
        </is>
      </c>
      <c r="C10" s="113" t="inlineStr">
        <is>
          <t>i.diallo@afrotech.sn</t>
        </is>
      </c>
      <c r="D10" s="113" t="inlineStr">
        <is>
          <t>Engineering</t>
        </is>
      </c>
      <c r="E10" s="113" t="inlineStr">
        <is>
          <t>Eng. Manager</t>
        </is>
      </c>
      <c r="F10" s="123" t="inlineStr">
        <is>
          <t>Technical</t>
        </is>
      </c>
      <c r="G10" s="124" t="inlineStr">
        <is>
          <t>Non-Local</t>
        </is>
      </c>
      <c r="H10" s="127" t="inlineStr">
        <is>
          <t>Hyatt Regency</t>
        </is>
      </c>
      <c r="I10" s="110" t="inlineStr">
        <is>
          <t>No</t>
        </is>
      </c>
      <c r="J10" s="110" t="inlineStr">
        <is>
          <t>Yes</t>
        </is>
      </c>
      <c r="K10" s="110" t="inlineStr">
        <is>
          <t>Yes</t>
        </is>
      </c>
      <c r="L10" s="110" t="inlineStr">
        <is>
          <t>Yes</t>
        </is>
      </c>
      <c r="M10" s="110" t="inlineStr">
        <is>
          <t>Yes</t>
        </is>
      </c>
      <c r="N10" s="112" t="inlineStr">
        <is>
          <t>Aminata Diallo</t>
        </is>
      </c>
      <c r="O10" s="112" t="inlineStr">
        <is>
          <t>+221-77-0109</t>
        </is>
      </c>
      <c r="P10" s="112" t="n"/>
    </row>
    <row r="11" ht="15" customHeight="1" s="107">
      <c r="A11" s="116" t="inlineStr">
        <is>
          <t>P010</t>
        </is>
      </c>
      <c r="B11" s="119" t="inlineStr">
        <is>
          <t>julia.fernandez</t>
        </is>
      </c>
      <c r="C11" s="119" t="inlineStr">
        <is>
          <t>j.fernandez@consulta.mx</t>
        </is>
      </c>
      <c r="D11" s="119" t="inlineStr">
        <is>
          <t>Strategy</t>
        </is>
      </c>
      <c r="E11" s="119" t="inlineStr">
        <is>
          <t>Strategy Consultant</t>
        </is>
      </c>
      <c r="F11" s="121" t="inlineStr">
        <is>
          <t>Leadership</t>
        </is>
      </c>
      <c r="G11" s="124" t="inlineStr">
        <is>
          <t>Non-Local</t>
        </is>
      </c>
      <c r="H11" s="125" t="inlineStr">
        <is>
          <t>Hilton Downtown</t>
        </is>
      </c>
      <c r="I11" s="116" t="inlineStr">
        <is>
          <t>Yes</t>
        </is>
      </c>
      <c r="J11" s="116" t="inlineStr">
        <is>
          <t>Yes</t>
        </is>
      </c>
      <c r="K11" s="116" t="inlineStr">
        <is>
          <t>Yes</t>
        </is>
      </c>
      <c r="L11" s="116" t="inlineStr">
        <is>
          <t>Yes</t>
        </is>
      </c>
      <c r="M11" s="116" t="inlineStr">
        <is>
          <t>Yes</t>
        </is>
      </c>
      <c r="N11" s="118" t="inlineStr">
        <is>
          <t>Roberto Fernandez</t>
        </is>
      </c>
      <c r="O11" s="118" t="inlineStr">
        <is>
          <t>+52-55-0110</t>
        </is>
      </c>
      <c r="P11" s="118" t="n"/>
    </row>
    <row r="12" ht="15" customHeight="1" s="107">
      <c r="A12" s="110" t="inlineStr">
        <is>
          <t>P011</t>
        </is>
      </c>
      <c r="B12" s="113" t="inlineStr">
        <is>
          <t>kevin.obrien</t>
        </is>
      </c>
      <c r="C12" s="113" t="inlineStr">
        <is>
          <t>k.obrien@dublinsoft.ie</t>
        </is>
      </c>
      <c r="D12" s="113" t="inlineStr">
        <is>
          <t>Engineering</t>
        </is>
      </c>
      <c r="E12" s="113" t="inlineStr">
        <is>
          <t>DevOps Lead</t>
        </is>
      </c>
      <c r="F12" s="123" t="inlineStr">
        <is>
          <t>Technical</t>
        </is>
      </c>
      <c r="G12" s="124" t="inlineStr">
        <is>
          <t>Non-Local</t>
        </is>
      </c>
      <c r="H12" s="127" t="inlineStr">
        <is>
          <t>Marriott Convention</t>
        </is>
      </c>
      <c r="I12" s="110" t="inlineStr">
        <is>
          <t>Yes</t>
        </is>
      </c>
      <c r="J12" s="110" t="inlineStr">
        <is>
          <t>Yes</t>
        </is>
      </c>
      <c r="K12" s="110" t="inlineStr">
        <is>
          <t>Yes</t>
        </is>
      </c>
      <c r="L12" s="110" t="inlineStr">
        <is>
          <t>Yes</t>
        </is>
      </c>
      <c r="M12" s="110" t="inlineStr">
        <is>
          <t>No</t>
        </is>
      </c>
      <c r="N12" s="112" t="inlineStr">
        <is>
          <t>Siobhan O'Brien</t>
        </is>
      </c>
      <c r="O12" s="112" t="inlineStr">
        <is>
          <t>+353-86-0111</t>
        </is>
      </c>
      <c r="P12" s="112" t="n"/>
    </row>
    <row r="13" ht="15" customHeight="1" s="107">
      <c r="A13" s="116" t="inlineStr">
        <is>
          <t>P012</t>
        </is>
      </c>
      <c r="B13" s="119" t="inlineStr">
        <is>
          <t>lina.nakamura</t>
        </is>
      </c>
      <c r="C13" s="119" t="inlineStr">
        <is>
          <t>l.nakamura@tokyoux.jp</t>
        </is>
      </c>
      <c r="D13" s="119" t="inlineStr">
        <is>
          <t>Design</t>
        </is>
      </c>
      <c r="E13" s="119" t="inlineStr">
        <is>
          <t>Service Designer</t>
        </is>
      </c>
      <c r="F13" s="126" t="inlineStr">
        <is>
          <t>Design Thinking</t>
        </is>
      </c>
      <c r="G13" s="124" t="inlineStr">
        <is>
          <t>Non-Local</t>
        </is>
      </c>
      <c r="H13" s="125" t="inlineStr">
        <is>
          <t>Holiday Inn Express</t>
        </is>
      </c>
      <c r="I13" s="116" t="inlineStr">
        <is>
          <t>Yes</t>
        </is>
      </c>
      <c r="J13" s="116" t="inlineStr">
        <is>
          <t>No</t>
        </is>
      </c>
      <c r="K13" s="116" t="inlineStr">
        <is>
          <t>Yes</t>
        </is>
      </c>
      <c r="L13" s="116" t="inlineStr">
        <is>
          <t>Yes</t>
        </is>
      </c>
      <c r="M13" s="116" t="inlineStr">
        <is>
          <t>Yes</t>
        </is>
      </c>
      <c r="N13" s="118" t="inlineStr">
        <is>
          <t>Yuki Nakamura</t>
        </is>
      </c>
      <c r="O13" s="118" t="inlineStr">
        <is>
          <t>+81-90-0112</t>
        </is>
      </c>
      <c r="P13" s="118" t="n"/>
    </row>
    <row r="14" ht="15" customHeight="1" s="107">
      <c r="A14" s="110" t="inlineStr">
        <is>
          <t>P013</t>
        </is>
      </c>
      <c r="B14" s="113" t="inlineStr">
        <is>
          <t>marcus.brown</t>
        </is>
      </c>
      <c r="C14" s="113" t="inlineStr">
        <is>
          <t>m.brown@opscenter.us</t>
        </is>
      </c>
      <c r="D14" s="113" t="inlineStr">
        <is>
          <t>Logistics</t>
        </is>
      </c>
      <c r="E14" s="113" t="inlineStr">
        <is>
          <t>Logistics Mgr</t>
        </is>
      </c>
      <c r="F14" s="128" t="inlineStr">
        <is>
          <t>Operations</t>
        </is>
      </c>
      <c r="G14" s="122" t="inlineStr">
        <is>
          <t>Local</t>
        </is>
      </c>
      <c r="H14" s="113" t="n"/>
      <c r="I14" s="110" t="inlineStr">
        <is>
          <t>Yes</t>
        </is>
      </c>
      <c r="J14" s="110" t="inlineStr">
        <is>
          <t>Yes</t>
        </is>
      </c>
      <c r="K14" s="110" t="inlineStr">
        <is>
          <t>Yes</t>
        </is>
      </c>
      <c r="L14" s="110" t="inlineStr">
        <is>
          <t>Yes</t>
        </is>
      </c>
      <c r="M14" s="110" t="inlineStr">
        <is>
          <t>Yes</t>
        </is>
      </c>
      <c r="N14" s="112" t="inlineStr">
        <is>
          <t>Sarah Brown</t>
        </is>
      </c>
      <c r="O14" s="112" t="inlineStr">
        <is>
          <t>+1-555-0113</t>
        </is>
      </c>
      <c r="P14" s="112" t="n"/>
    </row>
    <row r="15" ht="15" customHeight="1" s="107">
      <c r="A15" s="116" t="inlineStr">
        <is>
          <t>P014</t>
        </is>
      </c>
      <c r="B15" s="119" t="inlineStr">
        <is>
          <t>nadia.kovalenko</t>
        </is>
      </c>
      <c r="C15" s="119" t="inlineStr">
        <is>
          <t>n.kovalenko@dataflow.ua</t>
        </is>
      </c>
      <c r="D15" s="119" t="inlineStr">
        <is>
          <t>Data</t>
        </is>
      </c>
      <c r="E15" s="119" t="inlineStr">
        <is>
          <t>Data Engineer</t>
        </is>
      </c>
      <c r="F15" s="123" t="inlineStr">
        <is>
          <t>Technical</t>
        </is>
      </c>
      <c r="G15" s="124" t="inlineStr">
        <is>
          <t>Non-Local</t>
        </is>
      </c>
      <c r="H15" s="125" t="inlineStr">
        <is>
          <t>Hyatt Regency</t>
        </is>
      </c>
      <c r="I15" s="116" t="inlineStr">
        <is>
          <t>Yes</t>
        </is>
      </c>
      <c r="J15" s="116" t="inlineStr">
        <is>
          <t>Yes</t>
        </is>
      </c>
      <c r="K15" s="116" t="inlineStr">
        <is>
          <t>Yes</t>
        </is>
      </c>
      <c r="L15" s="116" t="inlineStr">
        <is>
          <t>Yes</t>
        </is>
      </c>
      <c r="M15" s="116" t="inlineStr">
        <is>
          <t>Yes</t>
        </is>
      </c>
      <c r="N15" s="118" t="inlineStr">
        <is>
          <t>Oleksandr K.</t>
        </is>
      </c>
      <c r="O15" s="118" t="inlineStr">
        <is>
          <t>+380-67-0114</t>
        </is>
      </c>
      <c r="P15" s="118" t="n"/>
    </row>
    <row r="16" ht="15" customHeight="1" s="107">
      <c r="A16" s="110" t="inlineStr">
        <is>
          <t>P015</t>
        </is>
      </c>
      <c r="B16" s="113" t="inlineStr">
        <is>
          <t>oscar.lindgren</t>
        </is>
      </c>
      <c r="C16" s="113" t="inlineStr">
        <is>
          <t>o.lindgren@greentech.se</t>
        </is>
      </c>
      <c r="D16" s="113" t="inlineStr">
        <is>
          <t>Sustainability</t>
        </is>
      </c>
      <c r="E16" s="113" t="inlineStr">
        <is>
          <t>Sustainability Lead</t>
        </is>
      </c>
      <c r="F16" s="128" t="inlineStr">
        <is>
          <t>Operations</t>
        </is>
      </c>
      <c r="G16" s="124" t="inlineStr">
        <is>
          <t>Non-Local</t>
        </is>
      </c>
      <c r="H16" s="127" t="inlineStr">
        <is>
          <t>Marriott Convention</t>
        </is>
      </c>
      <c r="I16" s="110" t="inlineStr">
        <is>
          <t>Yes</t>
        </is>
      </c>
      <c r="J16" s="110" t="inlineStr">
        <is>
          <t>Yes</t>
        </is>
      </c>
      <c r="K16" s="110" t="inlineStr">
        <is>
          <t>No</t>
        </is>
      </c>
      <c r="L16" s="110" t="inlineStr">
        <is>
          <t>Yes</t>
        </is>
      </c>
      <c r="M16" s="110" t="inlineStr">
        <is>
          <t>Yes</t>
        </is>
      </c>
      <c r="N16" s="112" t="inlineStr">
        <is>
          <t>Anna Lindgren</t>
        </is>
      </c>
      <c r="O16" s="112" t="inlineStr">
        <is>
          <t>+46-73-0115</t>
        </is>
      </c>
      <c r="P16" s="112" t="n"/>
    </row>
    <row r="17" ht="15" customHeight="1" s="107">
      <c r="A17" s="116" t="inlineStr">
        <is>
          <t>P016</t>
        </is>
      </c>
      <c r="B17" s="119" t="inlineStr">
        <is>
          <t>priya.menon</t>
        </is>
      </c>
      <c r="C17" s="119" t="inlineStr">
        <is>
          <t>p.menon@cloudnine.in</t>
        </is>
      </c>
      <c r="D17" s="119" t="inlineStr">
        <is>
          <t>Engineering</t>
        </is>
      </c>
      <c r="E17" s="119" t="inlineStr">
        <is>
          <t>VP Engineering</t>
        </is>
      </c>
      <c r="F17" s="123" t="inlineStr">
        <is>
          <t>Technical</t>
        </is>
      </c>
      <c r="G17" s="124" t="inlineStr">
        <is>
          <t>Non-Local</t>
        </is>
      </c>
      <c r="H17" s="125" t="inlineStr">
        <is>
          <t>Hilton Downtown</t>
        </is>
      </c>
      <c r="I17" s="116" t="inlineStr">
        <is>
          <t>Yes</t>
        </is>
      </c>
      <c r="J17" s="116" t="inlineStr">
        <is>
          <t>Yes</t>
        </is>
      </c>
      <c r="K17" s="116" t="inlineStr">
        <is>
          <t>Yes</t>
        </is>
      </c>
      <c r="L17" s="116" t="inlineStr">
        <is>
          <t>Yes</t>
        </is>
      </c>
      <c r="M17" s="116" t="inlineStr">
        <is>
          <t>Yes</t>
        </is>
      </c>
      <c r="N17" s="118" t="inlineStr">
        <is>
          <t>Raj Menon</t>
        </is>
      </c>
      <c r="O17" s="118" t="inlineStr">
        <is>
          <t>+91-98-0116</t>
        </is>
      </c>
      <c r="P17" s="118" t="n"/>
    </row>
    <row r="18" ht="15" customHeight="1" s="107">
      <c r="A18" s="110" t="inlineStr">
        <is>
          <t>P017</t>
        </is>
      </c>
      <c r="B18" s="113" t="inlineStr">
        <is>
          <t>quentin.dubois</t>
        </is>
      </c>
      <c r="C18" s="113" t="inlineStr">
        <is>
          <t>q.dubois@parislab.fr</t>
        </is>
      </c>
      <c r="D18" s="113" t="inlineStr">
        <is>
          <t>Innovation</t>
        </is>
      </c>
      <c r="E18" s="113" t="inlineStr">
        <is>
          <t>Innovation Lead</t>
        </is>
      </c>
      <c r="F18" s="126" t="inlineStr">
        <is>
          <t>Design Thinking</t>
        </is>
      </c>
      <c r="G18" s="124" t="inlineStr">
        <is>
          <t>Non-Local</t>
        </is>
      </c>
      <c r="H18" s="127" t="inlineStr">
        <is>
          <t>Holiday Inn Express</t>
        </is>
      </c>
      <c r="I18" s="110" t="inlineStr">
        <is>
          <t>Yes</t>
        </is>
      </c>
      <c r="J18" s="110" t="inlineStr">
        <is>
          <t>Yes</t>
        </is>
      </c>
      <c r="K18" s="110" t="inlineStr">
        <is>
          <t>Yes</t>
        </is>
      </c>
      <c r="L18" s="110" t="inlineStr">
        <is>
          <t>Yes</t>
        </is>
      </c>
      <c r="M18" s="110" t="inlineStr">
        <is>
          <t>No</t>
        </is>
      </c>
      <c r="N18" s="112" t="inlineStr">
        <is>
          <t>Marie Dubois</t>
        </is>
      </c>
      <c r="O18" s="112" t="inlineStr">
        <is>
          <t>+33-6-0117</t>
        </is>
      </c>
      <c r="P18" s="112" t="n"/>
    </row>
    <row r="19" ht="15" customHeight="1" s="107">
      <c r="A19" s="116" t="inlineStr">
        <is>
          <t>P018</t>
        </is>
      </c>
      <c r="B19" s="119" t="inlineStr">
        <is>
          <t>rachel.kim</t>
        </is>
      </c>
      <c r="C19" s="119" t="inlineStr">
        <is>
          <t>r.kim@seoultech.kr</t>
        </is>
      </c>
      <c r="D19" s="119" t="inlineStr">
        <is>
          <t>Operations</t>
        </is>
      </c>
      <c r="E19" s="119" t="inlineStr">
        <is>
          <t>Project Manager</t>
        </is>
      </c>
      <c r="F19" s="128" t="inlineStr">
        <is>
          <t>Operations</t>
        </is>
      </c>
      <c r="G19" s="124" t="inlineStr">
        <is>
          <t>Non-Local</t>
        </is>
      </c>
      <c r="H19" s="125" t="inlineStr">
        <is>
          <t>Hilton Downtown</t>
        </is>
      </c>
      <c r="I19" s="116" t="inlineStr">
        <is>
          <t>Yes</t>
        </is>
      </c>
      <c r="J19" s="116" t="inlineStr">
        <is>
          <t>Yes</t>
        </is>
      </c>
      <c r="K19" s="116" t="inlineStr">
        <is>
          <t>Yes</t>
        </is>
      </c>
      <c r="L19" s="116" t="inlineStr">
        <is>
          <t>Yes</t>
        </is>
      </c>
      <c r="M19" s="116" t="inlineStr">
        <is>
          <t>Yes</t>
        </is>
      </c>
      <c r="N19" s="118" t="inlineStr">
        <is>
          <t>Jun Kim</t>
        </is>
      </c>
      <c r="O19" s="118" t="inlineStr">
        <is>
          <t>+82-10-0118</t>
        </is>
      </c>
      <c r="P19" s="118" t="n"/>
    </row>
    <row r="20" ht="15" customHeight="1" s="107">
      <c r="A20" s="110" t="inlineStr">
        <is>
          <t>P019</t>
        </is>
      </c>
      <c r="B20" s="113" t="inlineStr">
        <is>
          <t>sam.adeyemi</t>
        </is>
      </c>
      <c r="C20" s="113" t="inlineStr">
        <is>
          <t>s.adeyemi@lagosops.ng</t>
        </is>
      </c>
      <c r="D20" s="113" t="inlineStr">
        <is>
          <t>Executive</t>
        </is>
      </c>
      <c r="E20" s="113" t="inlineStr">
        <is>
          <t>COO</t>
        </is>
      </c>
      <c r="F20" s="121" t="inlineStr">
        <is>
          <t>Leadership</t>
        </is>
      </c>
      <c r="G20" s="124" t="inlineStr">
        <is>
          <t>Non-Local</t>
        </is>
      </c>
      <c r="H20" s="127" t="inlineStr">
        <is>
          <t>Hyatt Regency</t>
        </is>
      </c>
      <c r="I20" s="110" t="inlineStr">
        <is>
          <t>Yes</t>
        </is>
      </c>
      <c r="J20" s="110" t="inlineStr">
        <is>
          <t>Yes</t>
        </is>
      </c>
      <c r="K20" s="110" t="inlineStr">
        <is>
          <t>Yes</t>
        </is>
      </c>
      <c r="L20" s="110" t="inlineStr">
        <is>
          <t>No</t>
        </is>
      </c>
      <c r="M20" s="110" t="inlineStr">
        <is>
          <t>Yes</t>
        </is>
      </c>
      <c r="N20" s="112" t="inlineStr">
        <is>
          <t>Grace Adeyemi</t>
        </is>
      </c>
      <c r="O20" s="112" t="inlineStr">
        <is>
          <t>+234-80-0119</t>
        </is>
      </c>
      <c r="P20" s="112" t="n"/>
    </row>
    <row r="21" ht="15" customHeight="1" s="107">
      <c r="A21" s="116" t="inlineStr">
        <is>
          <t>P020</t>
        </is>
      </c>
      <c r="B21" s="119" t="inlineStr">
        <is>
          <t>tara.singh</t>
        </is>
      </c>
      <c r="C21" s="119" t="inlineStr">
        <is>
          <t>t.singh@quantumleap.ca</t>
        </is>
      </c>
      <c r="D21" s="119" t="inlineStr">
        <is>
          <t>Engineering</t>
        </is>
      </c>
      <c r="E21" s="119" t="inlineStr">
        <is>
          <t>CTO</t>
        </is>
      </c>
      <c r="F21" s="123" t="inlineStr">
        <is>
          <t>Technical</t>
        </is>
      </c>
      <c r="G21" s="122" t="inlineStr">
        <is>
          <t>Local</t>
        </is>
      </c>
      <c r="H21" s="119" t="n"/>
      <c r="I21" s="116" t="inlineStr">
        <is>
          <t>Yes</t>
        </is>
      </c>
      <c r="J21" s="116" t="inlineStr">
        <is>
          <t>Yes</t>
        </is>
      </c>
      <c r="K21" s="116" t="inlineStr">
        <is>
          <t>Yes</t>
        </is>
      </c>
      <c r="L21" s="116" t="inlineStr">
        <is>
          <t>Yes</t>
        </is>
      </c>
      <c r="M21" s="116" t="inlineStr">
        <is>
          <t>Yes</t>
        </is>
      </c>
      <c r="N21" s="118" t="inlineStr">
        <is>
          <t>Arjun Singh</t>
        </is>
      </c>
      <c r="O21" s="118" t="inlineStr">
        <is>
          <t>+1-604-0120</t>
        </is>
      </c>
      <c r="P21" s="118" t="n"/>
    </row>
  </sheetData>
  <autoFilter ref="A1:P21"/>
  <conditionalFormatting sqref="I2:I51">
    <cfRule type="cellIs" rank="0" priority="2" equalAverage="0" operator="equal" aboveAverage="0" dxfId="9" text="" percent="0" bottom="0">
      <formula>"Yes"</formula>
    </cfRule>
    <cfRule type="cellIs" rank="0" priority="3" equalAverage="0" operator="equal" aboveAverage="0" dxfId="8" text="" percent="0" bottom="0">
      <formula>"No"</formula>
    </cfRule>
  </conditionalFormatting>
  <conditionalFormatting sqref="J2:J51">
    <cfRule type="cellIs" rank="0" priority="4" equalAverage="0" operator="equal" aboveAverage="0" dxfId="9" text="" percent="0" bottom="0">
      <formula>"Yes"</formula>
    </cfRule>
    <cfRule type="cellIs" rank="0" priority="5" equalAverage="0" operator="equal" aboveAverage="0" dxfId="8" text="" percent="0" bottom="0">
      <formula>"No"</formula>
    </cfRule>
  </conditionalFormatting>
  <conditionalFormatting sqref="K2:K51">
    <cfRule type="cellIs" rank="0" priority="6" equalAverage="0" operator="equal" aboveAverage="0" dxfId="9" text="" percent="0" bottom="0">
      <formula>"Yes"</formula>
    </cfRule>
    <cfRule type="cellIs" rank="0" priority="7" equalAverage="0" operator="equal" aboveAverage="0" dxfId="8" text="" percent="0" bottom="0">
      <formula>"No"</formula>
    </cfRule>
  </conditionalFormatting>
  <conditionalFormatting sqref="L2:L51">
    <cfRule type="cellIs" rank="0" priority="8" equalAverage="0" operator="equal" aboveAverage="0" dxfId="9" text="" percent="0" bottom="0">
      <formula>"Yes"</formula>
    </cfRule>
    <cfRule type="cellIs" rank="0" priority="9" equalAverage="0" operator="equal" aboveAverage="0" dxfId="8" text="" percent="0" bottom="0">
      <formula>"No"</formula>
    </cfRule>
  </conditionalFormatting>
  <conditionalFormatting sqref="M2:M51">
    <cfRule type="cellIs" rank="0" priority="10" equalAverage="0" operator="equal" aboveAverage="0" dxfId="9" text="" percent="0" bottom="0">
      <formula>"Yes"</formula>
    </cfRule>
    <cfRule type="cellIs" rank="0" priority="11" equalAverage="0" operator="equal" aboveAverage="0" dxfId="8" text="" percent="0" bottom="0">
      <formula>"No"</formula>
    </cfRule>
  </conditionalFormatting>
  <conditionalFormatting sqref="G2:G51">
    <cfRule type="cellIs" rank="0" priority="12" equalAverage="0" operator="equal" aboveAverage="0" dxfId="23" text="" percent="0" bottom="0">
      <formula>"Non-Local"</formula>
    </cfRule>
    <cfRule type="cellIs" rank="0" priority="13" equalAverage="0" operator="equal" aboveAverage="0" dxfId="9" text="" percent="0" bottom="0">
      <formula>"Local"</formula>
    </cfRule>
  </conditionalFormatting>
  <dataValidations count="3">
    <dataValidation sqref="I2:M51" showDropDown="0" showInputMessage="0" showErrorMessage="0" allowBlank="1" type="list" errorStyle="stop" operator="between">
      <formula1>"Yes,No"</formula1>
      <formula2>0</formula2>
    </dataValidation>
    <dataValidation sqref="G2:G51" showDropDown="0" showInputMessage="0" showErrorMessage="0" allowBlank="1" type="list" errorStyle="stop" operator="between">
      <formula1>"Local,Non-Local"</formula1>
      <formula2>0</formula2>
    </dataValidation>
    <dataValidation sqref="F2:F51" showDropDown="0" showInputMessage="0" showErrorMessage="0" allowBlank="1" errorTitle="Invalid Track" error="Please select a track from the agenda. If your track is missing, add it to SessionDB first." promptTitle="Select Track" prompt="Tracks auto-populated from SessionDB" type="list" errorStyle="stop" operator="between">
      <formula1>SessionDB!$R$2:$R$20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C3AED"/>
    <outlinePr summaryBelow="1" summaryRight="1"/>
    <pageSetUpPr fitToPage="0"/>
  </sheetPr>
  <dimension ref="A1:H5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06" min="1" max="1"/>
    <col width="14" customWidth="1" style="106" min="2" max="2"/>
    <col width="4" customWidth="1" style="106" min="3" max="3"/>
    <col width="30" customWidth="1" style="106" min="4" max="4"/>
    <col width="14" customWidth="1" style="106" min="5" max="5"/>
    <col hidden="1" width="2" customWidth="1" style="106" min="7" max="8"/>
  </cols>
  <sheetData>
    <row r="1" ht="39.75" customHeight="1" s="107">
      <c r="A1" s="129" t="inlineStr">
        <is>
          <t>PARTICIPANTS STATISTICS</t>
        </is>
      </c>
      <c r="G1" s="106" t="inlineStr">
        <is>
          <t>HotelList</t>
        </is>
      </c>
      <c r="H1" s="106" t="inlineStr">
        <is>
          <t>DeptList</t>
        </is>
      </c>
    </row>
    <row r="2" ht="15" customHeight="1" s="107">
      <c r="G2" s="106">
        <f>sort(unique(filter(ParticipantsDB!H2:H200,(ParticipantsDB!H2:H200&lt;&gt;"")*(LEN(ParticipantsDB!H2:H200)&gt;0))))</f>
        <v/>
      </c>
      <c r="H2" s="106">
        <f>sort(unique(filter(ParticipantsDB!D2:D200,(ParticipantsDB!D2:D200&lt;&gt;"")*(LEN(ParticipantsDB!D2:D200)&gt;0))))</f>
        <v/>
      </c>
    </row>
    <row r="3" ht="31.5" customHeight="1" s="107">
      <c r="A3" s="130" t="inlineStr">
        <is>
          <t>TOTAL OVERVIEW</t>
        </is>
      </c>
      <c r="D3" s="131" t="inlineStr">
        <is>
          <t>HOTEL BREAKDOWN</t>
        </is>
      </c>
    </row>
    <row r="4" ht="15" customHeight="1" s="107">
      <c r="A4" s="132" t="inlineStr">
        <is>
          <t>Total Participants</t>
        </is>
      </c>
      <c r="B4" s="133">
        <f>COUNTA(ParticipantsDB!A2:A200)</f>
        <v/>
      </c>
      <c r="D4" s="132">
        <f>IFERROR(INDEX($G$2:$G$50,1),"")</f>
        <v/>
      </c>
      <c r="E4" s="134">
        <f>IF(D4="","",COUNTIF(ParticipantsDB!H2:H200,D4))</f>
        <v/>
      </c>
    </row>
    <row r="5" ht="15" customHeight="1" s="107">
      <c r="A5" s="135" t="inlineStr">
        <is>
          <t>Local Participants</t>
        </is>
      </c>
      <c r="B5" s="136">
        <f>COUNTIF(ParticipantsDB!G2:G200,"Local")</f>
        <v/>
      </c>
      <c r="D5" s="135">
        <f>IFERROR(INDEX($G$2:$G$50,2),"")</f>
        <v/>
      </c>
      <c r="E5" s="137">
        <f>IF(D5="","",COUNTIF(ParticipantsDB!H2:H200,D5))</f>
        <v/>
      </c>
    </row>
    <row r="6" ht="15" customHeight="1" s="107">
      <c r="A6" s="132" t="inlineStr">
        <is>
          <t>Non-Local Participants</t>
        </is>
      </c>
      <c r="B6" s="133">
        <f>COUNTIF(ParticipantsDB!G2:G200,"Non-Local")</f>
        <v/>
      </c>
      <c r="D6" s="132">
        <f>IFERROR(INDEX($G$2:$G$50,3),"")</f>
        <v/>
      </c>
      <c r="E6" s="134">
        <f>IF(D6="","",COUNTIF(ParticipantsDB!H2:H200,D6))</f>
        <v/>
      </c>
    </row>
    <row r="7" ht="15" customHeight="1" s="107">
      <c r="A7" s="135" t="inlineStr">
        <is>
          <t>Non-Local %</t>
        </is>
      </c>
      <c r="B7" s="138">
        <f>IFERROR(COUNTIF(ParticipantsDB!G2:G200,"Non-Local")/COUNTA(ParticipantsDB!A2:A200),0)</f>
        <v/>
      </c>
      <c r="D7" s="135">
        <f>IFERROR(INDEX($G$2:$G$50,4),"")</f>
        <v/>
      </c>
      <c r="E7" s="137">
        <f>IF(D7="","",COUNTIF(ParticipantsDB!H2:H200,D7))</f>
        <v/>
      </c>
    </row>
    <row r="8" ht="15" customHeight="1" s="107">
      <c r="D8" s="132">
        <f>IFERROR(INDEX($G$2:$G$50,5),"")</f>
        <v/>
      </c>
      <c r="E8" s="134">
        <f>IF(D8="","",COUNTIF(ParticipantsDB!H2:H200,D8))</f>
        <v/>
      </c>
    </row>
    <row r="9" ht="31.5" customHeight="1" s="107">
      <c r="A9" s="139" t="inlineStr">
        <is>
          <t>DAILY ATTENDANCE</t>
        </is>
      </c>
      <c r="D9" s="135">
        <f>IFERROR(INDEX($G$2:$G$50,6),"")</f>
        <v/>
      </c>
      <c r="E9" s="137">
        <f>IF(D9="","",COUNTIF(ParticipantsDB!H2:H200,D9))</f>
        <v/>
      </c>
    </row>
    <row r="10" ht="15" customHeight="1" s="107">
      <c r="A10" s="132" t="inlineStr">
        <is>
          <t>Day 1 — Mon Mar 9</t>
        </is>
      </c>
      <c r="B10" s="133">
        <f>COUNTIF(ParticipantsDB!I2:I200,"Yes")</f>
        <v/>
      </c>
      <c r="D10" s="132">
        <f>IFERROR(INDEX($G$2:$G$50,7),"")</f>
        <v/>
      </c>
      <c r="E10" s="134">
        <f>IF(D10="","",COUNTIF(ParticipantsDB!H2:H200,D10))</f>
        <v/>
      </c>
    </row>
    <row r="11" ht="15" customHeight="1" s="107">
      <c r="A11" s="135" t="inlineStr">
        <is>
          <t>Day 2 — Tue Mar 10</t>
        </is>
      </c>
      <c r="B11" s="136">
        <f>COUNTIF(ParticipantsDB!J2:J200,"Yes")</f>
        <v/>
      </c>
      <c r="D11" s="135">
        <f>IFERROR(INDEX($G$2:$G$50,8),"")</f>
        <v/>
      </c>
      <c r="E11" s="137">
        <f>IF(D11="","",COUNTIF(ParticipantsDB!H2:H200,D11))</f>
        <v/>
      </c>
    </row>
    <row r="12" ht="15" customHeight="1" s="107">
      <c r="A12" s="132" t="inlineStr">
        <is>
          <t>Day 3 — Wed Mar 11</t>
        </is>
      </c>
      <c r="B12" s="133">
        <f>COUNTIF(ParticipantsDB!K2:K200,"Yes")</f>
        <v/>
      </c>
      <c r="D12" s="132">
        <f>IFERROR(INDEX($G$2:$G$50,9),"")</f>
        <v/>
      </c>
      <c r="E12" s="134">
        <f>IF(D12="","",COUNTIF(ParticipantsDB!H2:H200,D12))</f>
        <v/>
      </c>
    </row>
    <row r="13" ht="15" customHeight="1" s="107">
      <c r="A13" s="135" t="inlineStr">
        <is>
          <t>Day 4 — Thu Mar 12</t>
        </is>
      </c>
      <c r="B13" s="136">
        <f>COUNTIF(ParticipantsDB!L2:L200,"Yes")</f>
        <v/>
      </c>
      <c r="D13" s="135">
        <f>IFERROR(INDEX($G$2:$G$50,10),"")</f>
        <v/>
      </c>
      <c r="E13" s="137">
        <f>IF(D13="","",COUNTIF(ParticipantsDB!H2:H200,D13))</f>
        <v/>
      </c>
    </row>
    <row r="14" ht="15" customHeight="1" s="107">
      <c r="A14" s="132" t="inlineStr">
        <is>
          <t>Day 5 — Fri Mar 13</t>
        </is>
      </c>
      <c r="B14" s="133">
        <f>COUNTIF(ParticipantsDB!M2:M200,"Yes")</f>
        <v/>
      </c>
      <c r="D14" s="132" t="inlineStr">
        <is>
          <t>No Hotel Assigned</t>
        </is>
      </c>
      <c r="E14" s="133">
        <f>COUNTIFS(ParticipantsDB!G2:G200,"Non-Local",ParticipantsDB!H2:H200,"")</f>
        <v/>
      </c>
    </row>
    <row r="15" ht="15" customHeight="1" s="107">
      <c r="A15" s="135" t="inlineStr">
        <is>
          <t>Highest Day</t>
        </is>
      </c>
      <c r="B15" s="136">
        <f>MAX(B10:B14)</f>
        <v/>
      </c>
      <c r="D15" s="135" t="inlineStr">
        <is>
          <t>Total Non-Local (verify)</t>
        </is>
      </c>
      <c r="E15" s="136">
        <f>COUNTIF(ParticipantsDB!G2:G200,"Non-Local")</f>
        <v/>
      </c>
    </row>
    <row r="16" ht="15" customHeight="1" s="107">
      <c r="A16" s="132" t="inlineStr">
        <is>
          <t>Lowest Day</t>
        </is>
      </c>
      <c r="B16" s="133">
        <f>MIN(B10:B14)</f>
        <v/>
      </c>
    </row>
    <row r="17" ht="31.5" customHeight="1" s="107">
      <c r="A17" s="135" t="inlineStr">
        <is>
          <t>Avg Daily Attendance</t>
        </is>
      </c>
      <c r="B17" s="140">
        <f>IFERROR(AVERAGE(B10:B14),0)</f>
        <v/>
      </c>
      <c r="D17" s="141" t="inlineStr">
        <is>
          <t>TRACK × LOCALITY</t>
        </is>
      </c>
    </row>
    <row r="18" ht="15" customHeight="1" s="107">
      <c r="D18" s="132">
        <f>IF(IFERROR(INDEX(SessionDB!$R$2:$R$50,1),"")="","",IFERROR(INDEX(SessionDB!$R$2:$R$50,1),"")&amp;" — Local")</f>
        <v/>
      </c>
      <c r="E18" s="134">
        <f>IF(D18="","",COUNTIFS(ParticipantsDB!F2:F200,IFERROR(INDEX(SessionDB!$R$2:$R$50,1),""),ParticipantsDB!G2:G200,"Local"))</f>
        <v/>
      </c>
    </row>
    <row r="19" ht="31.5" customHeight="1" s="107">
      <c r="A19" s="142" t="inlineStr">
        <is>
          <t>BREAKDOWN BY TRACK</t>
        </is>
      </c>
      <c r="D19" s="135">
        <f>IF(IFERROR(INDEX(SessionDB!$R$2:$R$50,1),"")="","",IFERROR(INDEX(SessionDB!$R$2:$R$50,1),"")&amp;" — Non-Local")</f>
        <v/>
      </c>
      <c r="E19" s="137">
        <f>IF(D19="","",COUNTIFS(ParticipantsDB!F2:F200,IFERROR(INDEX(SessionDB!$R$2:$R$50,1),""),ParticipantsDB!G2:G200,"Non-Local"))</f>
        <v/>
      </c>
    </row>
    <row r="20" ht="15" customHeight="1" s="107">
      <c r="A20" s="132">
        <f>IFERROR(INDEX(SessionDB!$R$2:$R$50,1),"")</f>
        <v/>
      </c>
      <c r="B20" s="134">
        <f>IF(A20="","",COUNTIF(ParticipantsDB!F2:F200,A20))</f>
        <v/>
      </c>
      <c r="D20" s="132">
        <f>IF(IFERROR(INDEX(SessionDB!$R$2:$R$50,2),"")="","",IFERROR(INDEX(SessionDB!$R$2:$R$50,2),"")&amp;" — Local")</f>
        <v/>
      </c>
      <c r="E20" s="134">
        <f>IF(D20="","",COUNTIFS(ParticipantsDB!F2:F200,IFERROR(INDEX(SessionDB!$R$2:$R$50,2),""),ParticipantsDB!G2:G200,"Local"))</f>
        <v/>
      </c>
    </row>
    <row r="21" ht="15" customHeight="1" s="107">
      <c r="A21" s="135">
        <f>IFERROR(INDEX(SessionDB!$R$2:$R$50,2),"")</f>
        <v/>
      </c>
      <c r="B21" s="137">
        <f>IF(A21="","",COUNTIF(ParticipantsDB!F2:F200,A21))</f>
        <v/>
      </c>
      <c r="D21" s="135">
        <f>IF(IFERROR(INDEX(SessionDB!$R$2:$R$50,2),"")="","",IFERROR(INDEX(SessionDB!$R$2:$R$50,2),"")&amp;" — Non-Local")</f>
        <v/>
      </c>
      <c r="E21" s="137">
        <f>IF(D21="","",COUNTIFS(ParticipantsDB!F2:F200,IFERROR(INDEX(SessionDB!$R$2:$R$50,2),""),ParticipantsDB!G2:G200,"Non-Local"))</f>
        <v/>
      </c>
    </row>
    <row r="22" ht="15" customHeight="1" s="107">
      <c r="A22" s="132">
        <f>IFERROR(INDEX(SessionDB!$R$2:$R$50,3),"")</f>
        <v/>
      </c>
      <c r="B22" s="134">
        <f>IF(A22="","",COUNTIF(ParticipantsDB!F2:F200,A22))</f>
        <v/>
      </c>
      <c r="D22" s="132">
        <f>IF(IFERROR(INDEX(SessionDB!$R$2:$R$50,3),"")="","",IFERROR(INDEX(SessionDB!$R$2:$R$50,3),"")&amp;" — Local")</f>
        <v/>
      </c>
      <c r="E22" s="134">
        <f>IF(D22="","",COUNTIFS(ParticipantsDB!F2:F200,IFERROR(INDEX(SessionDB!$R$2:$R$50,3),""),ParticipantsDB!G2:G200,"Local"))</f>
        <v/>
      </c>
    </row>
    <row r="23" ht="15" customHeight="1" s="107">
      <c r="A23" s="135">
        <f>IFERROR(INDEX(SessionDB!$R$2:$R$50,4),"")</f>
        <v/>
      </c>
      <c r="B23" s="137">
        <f>IF(A23="","",COUNTIF(ParticipantsDB!F2:F200,A23))</f>
        <v/>
      </c>
      <c r="D23" s="135">
        <f>IF(IFERROR(INDEX(SessionDB!$R$2:$R$50,3),"")="","",IFERROR(INDEX(SessionDB!$R$2:$R$50,3),"")&amp;" — Non-Local")</f>
        <v/>
      </c>
      <c r="E23" s="137">
        <f>IF(D23="","",COUNTIFS(ParticipantsDB!F2:F200,IFERROR(INDEX(SessionDB!$R$2:$R$50,3),""),ParticipantsDB!G2:G200,"Non-Local"))</f>
        <v/>
      </c>
    </row>
    <row r="24" ht="15" customHeight="1" s="107">
      <c r="A24" s="132">
        <f>IFERROR(INDEX(SessionDB!$R$2:$R$50,5),"")</f>
        <v/>
      </c>
      <c r="B24" s="134">
        <f>IF(A24="","",COUNTIF(ParticipantsDB!F2:F200,A24))</f>
        <v/>
      </c>
      <c r="D24" s="132">
        <f>IF(IFERROR(INDEX(SessionDB!$R$2:$R$50,4),"")="","",IFERROR(INDEX(SessionDB!$R$2:$R$50,4),"")&amp;" — Local")</f>
        <v/>
      </c>
      <c r="E24" s="134">
        <f>IF(D24="","",COUNTIFS(ParticipantsDB!F2:F200,IFERROR(INDEX(SessionDB!$R$2:$R$50,4),""),ParticipantsDB!G2:G200,"Local"))</f>
        <v/>
      </c>
    </row>
    <row r="25" ht="15" customHeight="1" s="107">
      <c r="A25" s="135">
        <f>IFERROR(INDEX(SessionDB!$R$2:$R$50,6),"")</f>
        <v/>
      </c>
      <c r="B25" s="137">
        <f>IF(A25="","",COUNTIF(ParticipantsDB!F2:F200,A25))</f>
        <v/>
      </c>
      <c r="D25" s="135">
        <f>IF(IFERROR(INDEX(SessionDB!$R$2:$R$50,4),"")="","",IFERROR(INDEX(SessionDB!$R$2:$R$50,4),"")&amp;" — Non-Local")</f>
        <v/>
      </c>
      <c r="E25" s="137">
        <f>IF(D25="","",COUNTIFS(ParticipantsDB!F2:F200,IFERROR(INDEX(SessionDB!$R$2:$R$50,4),""),ParticipantsDB!G2:G200,"Non-Local"))</f>
        <v/>
      </c>
    </row>
    <row r="26" ht="15" customHeight="1" s="107">
      <c r="A26" s="132">
        <f>IFERROR(INDEX(SessionDB!$R$2:$R$50,7),"")</f>
        <v/>
      </c>
      <c r="B26" s="134">
        <f>IF(A26="","",COUNTIF(ParticipantsDB!F2:F200,A26))</f>
        <v/>
      </c>
      <c r="D26" s="132">
        <f>IF(IFERROR(INDEX(SessionDB!$R$2:$R$50,5),"")="","",IFERROR(INDEX(SessionDB!$R$2:$R$50,5),"")&amp;" — Local")</f>
        <v/>
      </c>
      <c r="E26" s="134">
        <f>IF(D26="","",COUNTIFS(ParticipantsDB!F2:F200,IFERROR(INDEX(SessionDB!$R$2:$R$50,5),""),ParticipantsDB!G2:G200,"Local"))</f>
        <v/>
      </c>
    </row>
    <row r="27" ht="15" customHeight="1" s="107">
      <c r="A27" s="135">
        <f>IFERROR(INDEX(SessionDB!$R$2:$R$50,8),"")</f>
        <v/>
      </c>
      <c r="B27" s="137">
        <f>IF(A27="","",COUNTIF(ParticipantsDB!F2:F200,A27))</f>
        <v/>
      </c>
      <c r="D27" s="135">
        <f>IF(IFERROR(INDEX(SessionDB!$R$2:$R$50,5),"")="","",IFERROR(INDEX(SessionDB!$R$2:$R$50,5),"")&amp;" — Non-Local")</f>
        <v/>
      </c>
      <c r="E27" s="137">
        <f>IF(D27="","",COUNTIFS(ParticipantsDB!F2:F200,IFERROR(INDEX(SessionDB!$R$2:$R$50,5),""),ParticipantsDB!G2:G200,"Non-Local"))</f>
        <v/>
      </c>
    </row>
    <row r="28" ht="15" customHeight="1" s="107">
      <c r="A28" s="132">
        <f>IFERROR(INDEX(SessionDB!$R$2:$R$50,9),"")</f>
        <v/>
      </c>
      <c r="B28" s="134">
        <f>IF(A28="","",COUNTIF(ParticipantsDB!F2:F200,A28))</f>
        <v/>
      </c>
      <c r="D28" s="132">
        <f>IF(IFERROR(INDEX(SessionDB!$R$2:$R$50,6),"")="","",IFERROR(INDEX(SessionDB!$R$2:$R$50,6),"")&amp;" — Local")</f>
        <v/>
      </c>
      <c r="E28" s="134">
        <f>IF(D28="","",COUNTIFS(ParticipantsDB!F2:F200,IFERROR(INDEX(SessionDB!$R$2:$R$50,6),""),ParticipantsDB!G2:G200,"Local"))</f>
        <v/>
      </c>
    </row>
    <row r="29" ht="15" customHeight="1" s="107">
      <c r="A29" s="135">
        <f>IFERROR(INDEX(SessionDB!$R$2:$R$50,10),"")</f>
        <v/>
      </c>
      <c r="B29" s="137">
        <f>IF(A29="","",COUNTIF(ParticipantsDB!F2:F200,A29))</f>
        <v/>
      </c>
      <c r="D29" s="135">
        <f>IF(IFERROR(INDEX(SessionDB!$R$2:$R$50,6),"")="","",IFERROR(INDEX(SessionDB!$R$2:$R$50,6),"")&amp;" — Non-Local")</f>
        <v/>
      </c>
      <c r="E29" s="137">
        <f>IF(D29="","",COUNTIFS(ParticipantsDB!F2:F200,IFERROR(INDEX(SessionDB!$R$2:$R$50,6),""),ParticipantsDB!G2:G200,"Non-Local"))</f>
        <v/>
      </c>
    </row>
    <row r="30" ht="15" customHeight="1" s="107">
      <c r="A30" s="132" t="inlineStr">
        <is>
          <t>Total (verify)</t>
        </is>
      </c>
      <c r="B30" s="133">
        <f>COUNTA(ParticipantsDB!A2:A200)</f>
        <v/>
      </c>
      <c r="D30" s="132">
        <f>IF(IFERROR(INDEX(SessionDB!$R$2:$R$50,7),"")="","",IFERROR(INDEX(SessionDB!$R$2:$R$50,7),"")&amp;" — Local")</f>
        <v/>
      </c>
      <c r="E30" s="134">
        <f>IF(D30="","",COUNTIFS(ParticipantsDB!F2:F200,IFERROR(INDEX(SessionDB!$R$2:$R$50,7),""),ParticipantsDB!G2:G200,"Local"))</f>
        <v/>
      </c>
    </row>
    <row r="31" ht="15" customHeight="1" s="107">
      <c r="D31" s="135">
        <f>IF(IFERROR(INDEX(SessionDB!$R$2:$R$50,7),"")="","",IFERROR(INDEX(SessionDB!$R$2:$R$50,7),"")&amp;" — Non-Local")</f>
        <v/>
      </c>
      <c r="E31" s="137">
        <f>IF(D31="","",COUNTIFS(ParticipantsDB!F2:F200,IFERROR(INDEX(SessionDB!$R$2:$R$50,7),""),ParticipantsDB!G2:G200,"Non-Local"))</f>
        <v/>
      </c>
    </row>
    <row r="32" ht="15" customHeight="1" s="107">
      <c r="D32" s="132">
        <f>IF(IFERROR(INDEX(SessionDB!$R$2:$R$50,8),"")="","",IFERROR(INDEX(SessionDB!$R$2:$R$50,8),"")&amp;" — Local")</f>
        <v/>
      </c>
      <c r="E32" s="134">
        <f>IF(D32="","",COUNTIFS(ParticipantsDB!F2:F200,IFERROR(INDEX(SessionDB!$R$2:$R$50,8),""),ParticipantsDB!G2:G200,"Local"))</f>
        <v/>
      </c>
    </row>
    <row r="33" ht="15" customHeight="1" s="107">
      <c r="D33" s="135">
        <f>IF(IFERROR(INDEX(SessionDB!$R$2:$R$50,8),"")="","",IFERROR(INDEX(SessionDB!$R$2:$R$50,8),"")&amp;" — Non-Local")</f>
        <v/>
      </c>
      <c r="E33" s="137">
        <f>IF(D33="","",COUNTIFS(ParticipantsDB!F2:F200,IFERROR(INDEX(SessionDB!$R$2:$R$50,8),""),ParticipantsDB!G2:G200,"Non-Local"))</f>
        <v/>
      </c>
    </row>
    <row r="34" ht="15" customHeight="1" s="107">
      <c r="D34" s="132">
        <f>IF(IFERROR(INDEX(SessionDB!$R$2:$R$50,9),"")="","",IFERROR(INDEX(SessionDB!$R$2:$R$50,9),"")&amp;" — Local")</f>
        <v/>
      </c>
      <c r="E34" s="134">
        <f>IF(D34="","",COUNTIFS(ParticipantsDB!F2:F200,IFERROR(INDEX(SessionDB!$R$2:$R$50,9),""),ParticipantsDB!G2:G200,"Local"))</f>
        <v/>
      </c>
    </row>
    <row r="35" ht="15" customHeight="1" s="107">
      <c r="D35" s="135">
        <f>IF(IFERROR(INDEX(SessionDB!$R$2:$R$50,9),"")="","",IFERROR(INDEX(SessionDB!$R$2:$R$50,9),"")&amp;" — Non-Local")</f>
        <v/>
      </c>
      <c r="E35" s="137">
        <f>IF(D35="","",COUNTIFS(ParticipantsDB!F2:F200,IFERROR(INDEX(SessionDB!$R$2:$R$50,9),""),ParticipantsDB!G2:G200,"Non-Local"))</f>
        <v/>
      </c>
    </row>
    <row r="36" ht="15" customHeight="1" s="107">
      <c r="D36" s="132">
        <f>IF(IFERROR(INDEX(SessionDB!$R$2:$R$50,10),"")="","",IFERROR(INDEX(SessionDB!$R$2:$R$50,10),"")&amp;" — Local")</f>
        <v/>
      </c>
      <c r="E36" s="134">
        <f>IF(D36="","",COUNTIFS(ParticipantsDB!F2:F200,IFERROR(INDEX(SessionDB!$R$2:$R$50,10),""),ParticipantsDB!G2:G200,"Local"))</f>
        <v/>
      </c>
    </row>
    <row r="37" ht="15" customHeight="1" s="107">
      <c r="D37" s="135">
        <f>IF(IFERROR(INDEX(SessionDB!$R$2:$R$50,10),"")="","",IFERROR(INDEX(SessionDB!$R$2:$R$50,10),"")&amp;" — Non-Local")</f>
        <v/>
      </c>
      <c r="E37" s="137">
        <f>IF(D37="","",COUNTIFS(ParticipantsDB!F2:F200,IFERROR(INDEX(SessionDB!$R$2:$R$50,10),""),ParticipantsDB!G2:G200,"Non-Local"))</f>
        <v/>
      </c>
    </row>
    <row r="39" ht="31.5" customHeight="1" s="107">
      <c r="D39" s="142" t="inlineStr">
        <is>
          <t>DEPARTMENT BREAKDOWN</t>
        </is>
      </c>
    </row>
    <row r="40" ht="15" customHeight="1" s="107">
      <c r="D40" s="132">
        <f>IFERROR(INDEX($H$2:$H$50,1),"")</f>
        <v/>
      </c>
      <c r="E40" s="134">
        <f>IF(D40="","",COUNTIF(ParticipantsDB!D2:D200,D40))</f>
        <v/>
      </c>
    </row>
    <row r="41" ht="15" customHeight="1" s="107">
      <c r="D41" s="135">
        <f>IFERROR(INDEX($H$2:$H$50,2),"")</f>
        <v/>
      </c>
      <c r="E41" s="137">
        <f>IF(D41="","",COUNTIF(ParticipantsDB!D2:D200,D41))</f>
        <v/>
      </c>
    </row>
    <row r="42" ht="15" customHeight="1" s="107">
      <c r="D42" s="132">
        <f>IFERROR(INDEX($H$2:$H$50,3),"")</f>
        <v/>
      </c>
      <c r="E42" s="134">
        <f>IF(D42="","",COUNTIF(ParticipantsDB!D2:D200,D42))</f>
        <v/>
      </c>
    </row>
    <row r="43" ht="15" customHeight="1" s="107">
      <c r="D43" s="135">
        <f>IFERROR(INDEX($H$2:$H$50,4),"")</f>
        <v/>
      </c>
      <c r="E43" s="137">
        <f>IF(D43="","",COUNTIF(ParticipantsDB!D2:D200,D43))</f>
        <v/>
      </c>
    </row>
    <row r="44" ht="15" customHeight="1" s="107">
      <c r="D44" s="132">
        <f>IFERROR(INDEX($H$2:$H$50,5),"")</f>
        <v/>
      </c>
      <c r="E44" s="134">
        <f>IF(D44="","",COUNTIF(ParticipantsDB!D2:D200,D44))</f>
        <v/>
      </c>
    </row>
    <row r="45" ht="15" customHeight="1" s="107">
      <c r="D45" s="135">
        <f>IFERROR(INDEX($H$2:$H$50,6),"")</f>
        <v/>
      </c>
      <c r="E45" s="137">
        <f>IF(D45="","",COUNTIF(ParticipantsDB!D2:D200,D45))</f>
        <v/>
      </c>
    </row>
    <row r="46" ht="15" customHeight="1" s="107">
      <c r="D46" s="132">
        <f>IFERROR(INDEX($H$2:$H$50,7),"")</f>
        <v/>
      </c>
      <c r="E46" s="134">
        <f>IF(D46="","",COUNTIF(ParticipantsDB!D2:D200,D46))</f>
        <v/>
      </c>
    </row>
    <row r="47" ht="15" customHeight="1" s="107">
      <c r="D47" s="135">
        <f>IFERROR(INDEX($H$2:$H$50,8),"")</f>
        <v/>
      </c>
      <c r="E47" s="137">
        <f>IF(D47="","",COUNTIF(ParticipantsDB!D2:D200,D47))</f>
        <v/>
      </c>
    </row>
    <row r="48" ht="15" customHeight="1" s="107">
      <c r="D48" s="132">
        <f>IFERROR(INDEX($H$2:$H$50,9),"")</f>
        <v/>
      </c>
      <c r="E48" s="134">
        <f>IF(D48="","",COUNTIF(ParticipantsDB!D2:D200,D48))</f>
        <v/>
      </c>
    </row>
    <row r="49" ht="15" customHeight="1" s="107">
      <c r="D49" s="135">
        <f>IFERROR(INDEX($H$2:$H$50,10),"")</f>
        <v/>
      </c>
      <c r="E49" s="137">
        <f>IF(D49="","",COUNTIF(ParticipantsDB!D2:D200,D49))</f>
        <v/>
      </c>
    </row>
    <row r="50" ht="15" customHeight="1" s="107">
      <c r="D50" s="132">
        <f>IFERROR(INDEX($H$2:$H$50,11),"")</f>
        <v/>
      </c>
      <c r="E50" s="134">
        <f>IF(D50="","",COUNTIF(ParticipantsDB!D2:D200,D50))</f>
        <v/>
      </c>
    </row>
    <row r="51" ht="15" customHeight="1" s="107">
      <c r="D51" s="135">
        <f>IFERROR(INDEX($H$2:$H$50,12),"")</f>
        <v/>
      </c>
      <c r="E51" s="137">
        <f>IF(D51="","",COUNTIF(ParticipantsDB!D2:D200,D51))</f>
        <v/>
      </c>
    </row>
    <row r="52" ht="15" customHeight="1" s="107">
      <c r="D52" s="132">
        <f>IFERROR(INDEX($H$2:$H$50,13),"")</f>
        <v/>
      </c>
      <c r="E52" s="134">
        <f>IF(D52="","",COUNTIF(ParticipantsDB!D2:D200,D52))</f>
        <v/>
      </c>
    </row>
    <row r="53" ht="15" customHeight="1" s="107">
      <c r="D53" s="135">
        <f>IFERROR(INDEX($H$2:$H$50,14),"")</f>
        <v/>
      </c>
      <c r="E53" s="137">
        <f>IF(D53="","",COUNTIF(ParticipantsDB!D2:D200,D53))</f>
        <v/>
      </c>
    </row>
    <row r="54" ht="15" customHeight="1" s="107">
      <c r="D54" s="132">
        <f>IFERROR(INDEX($H$2:$H$50,15),"")</f>
        <v/>
      </c>
      <c r="E54" s="134">
        <f>IF(D54="","",COUNTIF(ParticipantsDB!D2:D200,D54))</f>
        <v/>
      </c>
    </row>
  </sheetData>
  <mergeCells count="7">
    <mergeCell ref="A19:B19"/>
    <mergeCell ref="D3:E3"/>
    <mergeCell ref="A1:E1"/>
    <mergeCell ref="A9:B9"/>
    <mergeCell ref="D17:E17"/>
    <mergeCell ref="A3:B3"/>
    <mergeCell ref="D39:E3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tabColor rgb="00DC2626"/>
    <outlinePr summaryBelow="1" summaryRight="1"/>
    <pageSetUpPr/>
  </sheetPr>
  <dimension ref="A1:Z112"/>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7" customWidth="1" style="107" min="1" max="1"/>
    <col width="7" customWidth="1" style="107" min="2" max="2"/>
    <col width="14" customWidth="1" style="107" min="3" max="3"/>
    <col width="14" customWidth="1" style="107" min="4" max="4"/>
    <col width="14" customWidth="1" style="107" min="5" max="5"/>
    <col width="14" customWidth="1" style="107" min="6" max="6"/>
    <col width="14" customWidth="1" style="107" min="7" max="7"/>
    <col width="14" customWidth="1" style="107" min="8" max="8"/>
    <col width="14" customWidth="1" style="107" min="9" max="9"/>
    <col width="14" customWidth="1" style="107" min="10" max="10"/>
    <col width="14" customWidth="1" style="107" min="11" max="11"/>
    <col width="14" customWidth="1" style="107" min="12" max="12"/>
    <col width="14" customWidth="1" style="107" min="13" max="13"/>
    <col hidden="1" width="13" customWidth="1" style="107" min="26" max="26"/>
  </cols>
  <sheetData>
    <row r="1" ht="36" customHeight="1" s="107">
      <c r="A1" s="143" t="inlineStr">
        <is>
          <t>ROOM MANAGEMENT — Schedule &amp; Availability</t>
        </is>
      </c>
    </row>
    <row r="2" ht="28" customHeight="1" s="107">
      <c r="A2" s="145" t="inlineStr">
        <is>
          <t>Day</t>
        </is>
      </c>
      <c r="B2" s="145" t="inlineStr">
        <is>
          <t>Time</t>
        </is>
      </c>
      <c r="C2" s="146" t="inlineStr">
        <is>
          <t>Main Hall</t>
        </is>
      </c>
      <c r="D2" s="146" t="inlineStr">
        <is>
          <t>Room A1</t>
        </is>
      </c>
      <c r="E2" s="146" t="inlineStr">
        <is>
          <t>Room B1</t>
        </is>
      </c>
      <c r="F2" s="146" t="inlineStr">
        <is>
          <t>Room C1</t>
        </is>
      </c>
      <c r="G2" s="146" t="inlineStr">
        <is>
          <t>Room D1</t>
        </is>
      </c>
      <c r="H2" s="146" t="inlineStr">
        <is>
          <t>Atrium</t>
        </is>
      </c>
      <c r="I2" s="147" t="inlineStr">
        <is>
          <t>Room E1</t>
        </is>
      </c>
      <c r="J2" s="147" t="inlineStr">
        <is>
          <t>Room E2</t>
        </is>
      </c>
      <c r="K2" s="147" t="inlineStr">
        <is>
          <t>Room F1</t>
        </is>
      </c>
      <c r="L2" s="147" t="inlineStr">
        <is>
          <t>Boardroom G</t>
        </is>
      </c>
      <c r="M2" s="147" t="inlineStr">
        <is>
          <t>Terrace</t>
        </is>
      </c>
      <c r="Z2" s="106" t="inlineStr">
        <is>
          <t>Main Hall</t>
        </is>
      </c>
    </row>
    <row r="3" ht="20" customHeight="1" s="107">
      <c r="A3" s="148" t="inlineStr"/>
      <c r="B3" s="149" t="inlineStr">
        <is>
          <t>Capacity</t>
        </is>
      </c>
      <c r="C3" s="150" t="n">
        <v>200</v>
      </c>
      <c r="D3" s="150" t="n">
        <v>50</v>
      </c>
      <c r="E3" s="150" t="n">
        <v>55</v>
      </c>
      <c r="F3" s="150" t="n">
        <v>45</v>
      </c>
      <c r="G3" s="150" t="n">
        <v>40</v>
      </c>
      <c r="H3" s="150" t="n">
        <v>250</v>
      </c>
      <c r="I3" s="150" t="n">
        <v>35</v>
      </c>
      <c r="J3" s="150" t="n">
        <v>30</v>
      </c>
      <c r="K3" s="150" t="n">
        <v>25</v>
      </c>
      <c r="L3" s="150" t="n">
        <v>15</v>
      </c>
      <c r="M3" s="150" t="n">
        <v>60</v>
      </c>
      <c r="Z3" s="106" t="inlineStr">
        <is>
          <t>Room A1</t>
        </is>
      </c>
    </row>
    <row r="4" ht="22" customHeight="1" s="107">
      <c r="A4" s="151" t="inlineStr">
        <is>
          <t>D1</t>
        </is>
      </c>
      <c r="B4" s="152" t="inlineStr">
        <is>
          <t>08:00</t>
        </is>
      </c>
      <c r="C4" s="153" t="inlineStr">
        <is>
          <t>R</t>
        </is>
      </c>
      <c r="D4" s="153" t="inlineStr">
        <is>
          <t>R</t>
        </is>
      </c>
      <c r="E4" s="153" t="inlineStr">
        <is>
          <t>R</t>
        </is>
      </c>
      <c r="F4" s="153" t="inlineStr">
        <is>
          <t>R</t>
        </is>
      </c>
      <c r="G4" s="153" t="inlineStr">
        <is>
          <t>R</t>
        </is>
      </c>
      <c r="H4" s="153" t="inlineStr">
        <is>
          <t>R</t>
        </is>
      </c>
      <c r="I4" s="154" t="inlineStr"/>
      <c r="J4" s="154" t="inlineStr"/>
      <c r="K4" s="154" t="inlineStr"/>
      <c r="L4" s="154" t="inlineStr"/>
      <c r="M4" s="154" t="inlineStr"/>
      <c r="Z4" s="106" t="inlineStr">
        <is>
          <t>Room B1</t>
        </is>
      </c>
    </row>
    <row r="5" ht="22" customHeight="1" s="107">
      <c r="A5" s="155" t="inlineStr">
        <is>
          <t>D1</t>
        </is>
      </c>
      <c r="B5" s="156" t="inlineStr">
        <is>
          <t>08:30</t>
        </is>
      </c>
      <c r="C5" s="157" t="inlineStr">
        <is>
          <t>R</t>
        </is>
      </c>
      <c r="D5" s="157" t="inlineStr">
        <is>
          <t>R</t>
        </is>
      </c>
      <c r="E5" s="157" t="inlineStr">
        <is>
          <t>R</t>
        </is>
      </c>
      <c r="F5" s="157" t="inlineStr">
        <is>
          <t>R</t>
        </is>
      </c>
      <c r="G5" s="157" t="inlineStr">
        <is>
          <t>R</t>
        </is>
      </c>
      <c r="H5" s="157" t="inlineStr">
        <is>
          <t>R</t>
        </is>
      </c>
      <c r="I5" s="158" t="inlineStr"/>
      <c r="J5" s="158" t="inlineStr"/>
      <c r="K5" s="158" t="inlineStr"/>
      <c r="L5" s="158" t="inlineStr"/>
      <c r="M5" s="158" t="inlineStr"/>
      <c r="Z5" s="106" t="inlineStr">
        <is>
          <t>Room C1</t>
        </is>
      </c>
    </row>
    <row r="6" ht="22" customHeight="1" s="107">
      <c r="A6" s="159" t="inlineStr">
        <is>
          <t>D1</t>
        </is>
      </c>
      <c r="B6" s="160" t="inlineStr">
        <is>
          <t>09:00</t>
        </is>
      </c>
      <c r="C6" s="161" t="inlineStr">
        <is>
          <t>Opening Keynote
Dr. Sarah Chen</t>
        </is>
      </c>
      <c r="D6" s="157" t="inlineStr">
        <is>
          <t>R</t>
        </is>
      </c>
      <c r="E6" s="157" t="inlineStr">
        <is>
          <t>R</t>
        </is>
      </c>
      <c r="F6" s="157" t="inlineStr">
        <is>
          <t>R</t>
        </is>
      </c>
      <c r="G6" s="157" t="inlineStr">
        <is>
          <t>R</t>
        </is>
      </c>
      <c r="H6" s="157" t="inlineStr">
        <is>
          <t>R</t>
        </is>
      </c>
      <c r="I6" s="158" t="inlineStr"/>
      <c r="J6" s="158" t="inlineStr"/>
      <c r="K6" s="158" t="inlineStr"/>
      <c r="L6" s="158" t="inlineStr"/>
      <c r="M6" s="158" t="inlineStr"/>
      <c r="Z6" s="106" t="inlineStr">
        <is>
          <t>Room D1</t>
        </is>
      </c>
    </row>
    <row r="7" ht="22" customHeight="1" s="107">
      <c r="A7" s="155" t="inlineStr">
        <is>
          <t>D1</t>
        </is>
      </c>
      <c r="B7" s="156" t="inlineStr">
        <is>
          <t>09:30</t>
        </is>
      </c>
      <c r="C7" s="162" t="inlineStr">
        <is>
          <t>↓ Opening Keynote</t>
        </is>
      </c>
      <c r="D7" s="157" t="inlineStr">
        <is>
          <t>R</t>
        </is>
      </c>
      <c r="E7" s="157" t="inlineStr">
        <is>
          <t>R</t>
        </is>
      </c>
      <c r="F7" s="157" t="inlineStr">
        <is>
          <t>R</t>
        </is>
      </c>
      <c r="G7" s="157" t="inlineStr">
        <is>
          <t>R</t>
        </is>
      </c>
      <c r="H7" s="157" t="inlineStr">
        <is>
          <t>R</t>
        </is>
      </c>
      <c r="I7" s="158" t="inlineStr"/>
      <c r="J7" s="158" t="inlineStr"/>
      <c r="K7" s="158" t="inlineStr"/>
      <c r="L7" s="158" t="inlineStr"/>
      <c r="M7" s="158" t="inlineStr"/>
      <c r="Z7" s="106" t="inlineStr">
        <is>
          <t>Atrium</t>
        </is>
      </c>
    </row>
    <row r="8" ht="22" customHeight="1" s="107">
      <c r="A8" s="159" t="inlineStr">
        <is>
          <t>D1</t>
        </is>
      </c>
      <c r="B8" s="160" t="inlineStr">
        <is>
          <t>10:00</t>
        </is>
      </c>
      <c r="C8" s="157" t="inlineStr">
        <is>
          <t>R</t>
        </is>
      </c>
      <c r="D8" s="157" t="inlineStr">
        <is>
          <t>R</t>
        </is>
      </c>
      <c r="E8" s="157" t="inlineStr">
        <is>
          <t>R</t>
        </is>
      </c>
      <c r="F8" s="157" t="inlineStr">
        <is>
          <t>R</t>
        </is>
      </c>
      <c r="G8" s="157" t="inlineStr">
        <is>
          <t>R</t>
        </is>
      </c>
      <c r="H8" s="157" t="inlineStr">
        <is>
          <t>R</t>
        </is>
      </c>
      <c r="I8" s="158" t="inlineStr"/>
      <c r="J8" s="158" t="inlineStr"/>
      <c r="K8" s="158" t="inlineStr"/>
      <c r="L8" s="158" t="inlineStr"/>
      <c r="M8" s="158" t="inlineStr"/>
      <c r="Z8" s="106" t="inlineStr">
        <is>
          <t>Room E1</t>
        </is>
      </c>
    </row>
    <row r="9" ht="22" customHeight="1" s="107">
      <c r="A9" s="155" t="inlineStr">
        <is>
          <t>D1</t>
        </is>
      </c>
      <c r="B9" s="156" t="inlineStr">
        <is>
          <t>10:30</t>
        </is>
      </c>
      <c r="C9" s="157" t="inlineStr">
        <is>
          <t>R</t>
        </is>
      </c>
      <c r="D9" s="161" t="inlineStr">
        <is>
          <t>Leading Through Change
Mark Torres</t>
        </is>
      </c>
      <c r="E9" s="161" t="inlineStr">
        <is>
          <t>API Design Patterns
Priya Sharma</t>
        </is>
      </c>
      <c r="F9" s="161" t="inlineStr">
        <is>
          <t>Empathy Mapping 101
Lena Müller</t>
        </is>
      </c>
      <c r="G9" s="161" t="inlineStr">
        <is>
          <t>Lean Process Improvement
James Wright</t>
        </is>
      </c>
      <c r="H9" s="157" t="inlineStr">
        <is>
          <t>R</t>
        </is>
      </c>
      <c r="I9" s="158" t="inlineStr"/>
      <c r="J9" s="158" t="inlineStr"/>
      <c r="K9" s="158" t="inlineStr"/>
      <c r="L9" s="158" t="inlineStr"/>
      <c r="M9" s="158" t="inlineStr"/>
      <c r="Z9" s="106" t="inlineStr">
        <is>
          <t>Room E2</t>
        </is>
      </c>
    </row>
    <row r="10" ht="22" customHeight="1" s="107">
      <c r="A10" s="159" t="inlineStr">
        <is>
          <t>D1</t>
        </is>
      </c>
      <c r="B10" s="160" t="inlineStr">
        <is>
          <t>11:00</t>
        </is>
      </c>
      <c r="C10" s="157" t="inlineStr">
        <is>
          <t>R</t>
        </is>
      </c>
      <c r="D10" s="162" t="inlineStr">
        <is>
          <t>↓ Leading Through Change</t>
        </is>
      </c>
      <c r="E10" s="162" t="inlineStr">
        <is>
          <t>↓ API Design Patterns</t>
        </is>
      </c>
      <c r="F10" s="162" t="inlineStr">
        <is>
          <t>↓ Empathy Mapping 101</t>
        </is>
      </c>
      <c r="G10" s="162" t="inlineStr">
        <is>
          <t>↓ Lean Process Improvement</t>
        </is>
      </c>
      <c r="H10" s="157" t="inlineStr">
        <is>
          <t>R</t>
        </is>
      </c>
      <c r="I10" s="158" t="inlineStr"/>
      <c r="J10" s="158" t="inlineStr"/>
      <c r="K10" s="158" t="inlineStr"/>
      <c r="L10" s="158" t="inlineStr"/>
      <c r="M10" s="158" t="inlineStr"/>
      <c r="Z10" s="106" t="inlineStr">
        <is>
          <t>Room F1</t>
        </is>
      </c>
    </row>
    <row r="11" ht="22" customHeight="1" s="107">
      <c r="A11" s="155" t="inlineStr">
        <is>
          <t>D1</t>
        </is>
      </c>
      <c r="B11" s="156" t="inlineStr">
        <is>
          <t>11:30</t>
        </is>
      </c>
      <c r="C11" s="157" t="inlineStr">
        <is>
          <t>R</t>
        </is>
      </c>
      <c r="D11" s="162" t="inlineStr">
        <is>
          <t>↓ Leading Through Change</t>
        </is>
      </c>
      <c r="E11" s="162" t="inlineStr">
        <is>
          <t>↓ API Design Patterns</t>
        </is>
      </c>
      <c r="F11" s="162" t="inlineStr">
        <is>
          <t>↓ Empathy Mapping 101</t>
        </is>
      </c>
      <c r="G11" s="162" t="inlineStr">
        <is>
          <t>↓ Lean Process Improvement</t>
        </is>
      </c>
      <c r="H11" s="157" t="inlineStr">
        <is>
          <t>R</t>
        </is>
      </c>
      <c r="I11" s="158" t="inlineStr"/>
      <c r="J11" s="158" t="inlineStr"/>
      <c r="K11" s="158" t="inlineStr"/>
      <c r="L11" s="158" t="inlineStr"/>
      <c r="M11" s="158" t="inlineStr"/>
      <c r="Z11" s="106" t="inlineStr">
        <is>
          <t>Boardroom G</t>
        </is>
      </c>
    </row>
    <row r="12" ht="22" customHeight="1" s="107">
      <c r="A12" s="159" t="inlineStr">
        <is>
          <t>D1</t>
        </is>
      </c>
      <c r="B12" s="160" t="inlineStr">
        <is>
          <t>12:00</t>
        </is>
      </c>
      <c r="C12" s="157" t="inlineStr">
        <is>
          <t>R</t>
        </is>
      </c>
      <c r="D12" s="157" t="inlineStr">
        <is>
          <t>R</t>
        </is>
      </c>
      <c r="E12" s="157" t="inlineStr">
        <is>
          <t>R</t>
        </is>
      </c>
      <c r="F12" s="157" t="inlineStr">
        <is>
          <t>R</t>
        </is>
      </c>
      <c r="G12" s="157" t="inlineStr">
        <is>
          <t>R</t>
        </is>
      </c>
      <c r="H12" s="161" t="inlineStr">
        <is>
          <t>Lunch &amp; Networking</t>
        </is>
      </c>
      <c r="I12" s="158" t="inlineStr"/>
      <c r="J12" s="158" t="inlineStr"/>
      <c r="K12" s="158" t="inlineStr"/>
      <c r="L12" s="158" t="inlineStr"/>
      <c r="M12" s="158" t="inlineStr"/>
      <c r="Z12" s="106" t="inlineStr">
        <is>
          <t>Terrace</t>
        </is>
      </c>
    </row>
    <row r="13" ht="22" customHeight="1" s="107">
      <c r="A13" s="155" t="inlineStr">
        <is>
          <t>D1</t>
        </is>
      </c>
      <c r="B13" s="156" t="inlineStr">
        <is>
          <t>12:30</t>
        </is>
      </c>
      <c r="C13" s="157" t="inlineStr">
        <is>
          <t>R</t>
        </is>
      </c>
      <c r="D13" s="157" t="inlineStr">
        <is>
          <t>R</t>
        </is>
      </c>
      <c r="E13" s="157" t="inlineStr">
        <is>
          <t>R</t>
        </is>
      </c>
      <c r="F13" s="157" t="inlineStr">
        <is>
          <t>R</t>
        </is>
      </c>
      <c r="G13" s="157" t="inlineStr">
        <is>
          <t>R</t>
        </is>
      </c>
      <c r="H13" s="162" t="inlineStr">
        <is>
          <t>↓ Lunch &amp; Networking</t>
        </is>
      </c>
      <c r="I13" s="158" t="inlineStr"/>
      <c r="J13" s="158" t="inlineStr"/>
      <c r="K13" s="158" t="inlineStr"/>
      <c r="L13" s="158" t="inlineStr"/>
      <c r="M13" s="158" t="inlineStr"/>
    </row>
    <row r="14" ht="22" customHeight="1" s="107">
      <c r="A14" s="159" t="inlineStr">
        <is>
          <t>D1</t>
        </is>
      </c>
      <c r="B14" s="160" t="inlineStr">
        <is>
          <t>13:00</t>
        </is>
      </c>
      <c r="C14" s="157" t="inlineStr">
        <is>
          <t>R</t>
        </is>
      </c>
      <c r="D14" s="161" t="inlineStr">
        <is>
          <t>Stakeholder Alignment
Aisha Johnson</t>
        </is>
      </c>
      <c r="E14" s="161" t="inlineStr">
        <is>
          <t>Cloud Infrastructure
David Kim</t>
        </is>
      </c>
      <c r="F14" s="161" t="inlineStr">
        <is>
          <t>Prototyping Sprint
Carlos Ruiz</t>
        </is>
      </c>
      <c r="G14" s="161" t="inlineStr">
        <is>
          <t>Risk Assessment
Nina Petrov</t>
        </is>
      </c>
      <c r="H14" s="157" t="inlineStr">
        <is>
          <t>R</t>
        </is>
      </c>
      <c r="I14" s="158" t="inlineStr"/>
      <c r="J14" s="158" t="inlineStr"/>
      <c r="K14" s="158" t="inlineStr"/>
      <c r="L14" s="158" t="inlineStr"/>
      <c r="M14" s="158" t="inlineStr"/>
    </row>
    <row r="15" ht="22" customHeight="1" s="107">
      <c r="A15" s="155" t="inlineStr">
        <is>
          <t>D1</t>
        </is>
      </c>
      <c r="B15" s="156" t="inlineStr">
        <is>
          <t>13:30</t>
        </is>
      </c>
      <c r="C15" s="157" t="inlineStr">
        <is>
          <t>R</t>
        </is>
      </c>
      <c r="D15" s="162" t="inlineStr">
        <is>
          <t>↓ Stakeholder Alignment</t>
        </is>
      </c>
      <c r="E15" s="162" t="inlineStr">
        <is>
          <t>↓ Cloud Infrastructure</t>
        </is>
      </c>
      <c r="F15" s="162" t="inlineStr">
        <is>
          <t>↓ Prototyping Sprint</t>
        </is>
      </c>
      <c r="G15" s="162" t="inlineStr">
        <is>
          <t>↓ Risk Assessment</t>
        </is>
      </c>
      <c r="H15" s="157" t="inlineStr">
        <is>
          <t>R</t>
        </is>
      </c>
      <c r="I15" s="158" t="inlineStr"/>
      <c r="J15" s="158" t="inlineStr"/>
      <c r="K15" s="158" t="inlineStr"/>
      <c r="L15" s="158" t="inlineStr"/>
      <c r="M15" s="158" t="inlineStr"/>
    </row>
    <row r="16" ht="22" customHeight="1" s="107">
      <c r="A16" s="159" t="inlineStr">
        <is>
          <t>D1</t>
        </is>
      </c>
      <c r="B16" s="160" t="inlineStr">
        <is>
          <t>14:00</t>
        </is>
      </c>
      <c r="C16" s="157" t="inlineStr">
        <is>
          <t>R</t>
        </is>
      </c>
      <c r="D16" s="162" t="inlineStr">
        <is>
          <t>↓ Stakeholder Alignment</t>
        </is>
      </c>
      <c r="E16" s="162" t="inlineStr">
        <is>
          <t>↓ Cloud Infrastructure</t>
        </is>
      </c>
      <c r="F16" s="162" t="inlineStr">
        <is>
          <t>↓ Prototyping Sprint</t>
        </is>
      </c>
      <c r="G16" s="162" t="inlineStr">
        <is>
          <t>↓ Risk Assessment</t>
        </is>
      </c>
      <c r="H16" s="157" t="inlineStr">
        <is>
          <t>R</t>
        </is>
      </c>
      <c r="I16" s="158" t="inlineStr"/>
      <c r="J16" s="158" t="inlineStr"/>
      <c r="K16" s="158" t="inlineStr"/>
      <c r="L16" s="158" t="inlineStr"/>
      <c r="M16" s="158" t="inlineStr"/>
    </row>
    <row r="17" ht="22" customHeight="1" s="107">
      <c r="A17" s="155" t="inlineStr">
        <is>
          <t>D1</t>
        </is>
      </c>
      <c r="B17" s="156" t="inlineStr">
        <is>
          <t>14:30</t>
        </is>
      </c>
      <c r="C17" s="157" t="inlineStr">
        <is>
          <t>R</t>
        </is>
      </c>
      <c r="D17" s="157" t="inlineStr">
        <is>
          <t>R</t>
        </is>
      </c>
      <c r="E17" s="157" t="inlineStr">
        <is>
          <t>R</t>
        </is>
      </c>
      <c r="F17" s="157" t="inlineStr">
        <is>
          <t>R</t>
        </is>
      </c>
      <c r="G17" s="157" t="inlineStr">
        <is>
          <t>R</t>
        </is>
      </c>
      <c r="H17" s="161" t="inlineStr">
        <is>
          <t>Afternoon Break</t>
        </is>
      </c>
      <c r="I17" s="158" t="inlineStr"/>
      <c r="J17" s="158" t="inlineStr"/>
      <c r="K17" s="158" t="inlineStr"/>
      <c r="L17" s="158" t="inlineStr"/>
      <c r="M17" s="158" t="inlineStr"/>
    </row>
    <row r="18" ht="22" customHeight="1" s="107">
      <c r="A18" s="159" t="inlineStr">
        <is>
          <t>D1</t>
        </is>
      </c>
      <c r="B18" s="160" t="inlineStr">
        <is>
          <t>15:00</t>
        </is>
      </c>
      <c r="C18" s="157" t="inlineStr">
        <is>
          <t>R</t>
        </is>
      </c>
      <c r="D18" s="161" t="inlineStr">
        <is>
          <t>Feedback Culture
Tom Bradley</t>
        </is>
      </c>
      <c r="E18" s="161" t="inlineStr">
        <is>
          <t>Data Pipeline Design
Wei Zhang</t>
        </is>
      </c>
      <c r="F18" s="161" t="inlineStr">
        <is>
          <t>Service Blueprinting
Lena Müller</t>
        </is>
      </c>
      <c r="G18" s="161" t="inlineStr">
        <is>
          <t>Agile Ceremonies
Rachel Green</t>
        </is>
      </c>
      <c r="H18" s="157" t="inlineStr">
        <is>
          <t>R</t>
        </is>
      </c>
      <c r="I18" s="158" t="inlineStr"/>
      <c r="J18" s="158" t="inlineStr"/>
      <c r="K18" s="158" t="inlineStr"/>
      <c r="L18" s="158" t="inlineStr"/>
      <c r="M18" s="158" t="inlineStr"/>
    </row>
    <row r="19" ht="22" customHeight="1" s="107">
      <c r="A19" s="155" t="inlineStr">
        <is>
          <t>D1</t>
        </is>
      </c>
      <c r="B19" s="156" t="inlineStr">
        <is>
          <t>15:30</t>
        </is>
      </c>
      <c r="C19" s="157" t="inlineStr">
        <is>
          <t>R</t>
        </is>
      </c>
      <c r="D19" s="162" t="inlineStr">
        <is>
          <t>↓ Feedback Culture</t>
        </is>
      </c>
      <c r="E19" s="162" t="inlineStr">
        <is>
          <t>↓ Data Pipeline Design</t>
        </is>
      </c>
      <c r="F19" s="162" t="inlineStr">
        <is>
          <t>↓ Service Blueprinting</t>
        </is>
      </c>
      <c r="G19" s="162" t="inlineStr">
        <is>
          <t>↓ Agile Ceremonies</t>
        </is>
      </c>
      <c r="H19" s="157" t="inlineStr">
        <is>
          <t>R</t>
        </is>
      </c>
      <c r="I19" s="158" t="inlineStr"/>
      <c r="J19" s="158" t="inlineStr"/>
      <c r="K19" s="158" t="inlineStr"/>
      <c r="L19" s="158" t="inlineStr"/>
      <c r="M19" s="158" t="inlineStr"/>
    </row>
    <row r="20" ht="22" customHeight="1" s="107">
      <c r="A20" s="159" t="inlineStr">
        <is>
          <t>D1</t>
        </is>
      </c>
      <c r="B20" s="160" t="inlineStr">
        <is>
          <t>16:00</t>
        </is>
      </c>
      <c r="C20" s="157" t="inlineStr">
        <is>
          <t>R</t>
        </is>
      </c>
      <c r="D20" s="162" t="inlineStr">
        <is>
          <t>↓ Feedback Culture</t>
        </is>
      </c>
      <c r="E20" s="162" t="inlineStr">
        <is>
          <t>↓ Data Pipeline Design</t>
        </is>
      </c>
      <c r="F20" s="162" t="inlineStr">
        <is>
          <t>↓ Service Blueprinting</t>
        </is>
      </c>
      <c r="G20" s="162" t="inlineStr">
        <is>
          <t>↓ Agile Ceremonies</t>
        </is>
      </c>
      <c r="H20" s="157" t="inlineStr">
        <is>
          <t>R</t>
        </is>
      </c>
      <c r="I20" s="158" t="inlineStr"/>
      <c r="J20" s="158" t="inlineStr"/>
      <c r="K20" s="158" t="inlineStr"/>
      <c r="L20" s="158" t="inlineStr"/>
      <c r="M20" s="158" t="inlineStr"/>
    </row>
    <row r="21" ht="22" customHeight="1" s="107">
      <c r="A21" s="155" t="inlineStr">
        <is>
          <t>D1</t>
        </is>
      </c>
      <c r="B21" s="156" t="inlineStr">
        <is>
          <t>16:30</t>
        </is>
      </c>
      <c r="C21" s="157" t="inlineStr">
        <is>
          <t>R</t>
        </is>
      </c>
      <c r="D21" s="157" t="inlineStr">
        <is>
          <t>R</t>
        </is>
      </c>
      <c r="E21" s="157" t="inlineStr">
        <is>
          <t>R</t>
        </is>
      </c>
      <c r="F21" s="157" t="inlineStr">
        <is>
          <t>R</t>
        </is>
      </c>
      <c r="G21" s="157" t="inlineStr">
        <is>
          <t>R</t>
        </is>
      </c>
      <c r="H21" s="157" t="inlineStr">
        <is>
          <t>R</t>
        </is>
      </c>
      <c r="I21" s="158" t="inlineStr"/>
      <c r="J21" s="158" t="inlineStr"/>
      <c r="K21" s="158" t="inlineStr"/>
      <c r="L21" s="158" t="inlineStr"/>
      <c r="M21" s="158" t="inlineStr"/>
    </row>
    <row r="22" ht="22" customHeight="1" s="107">
      <c r="A22" s="159" t="inlineStr">
        <is>
          <t>D1</t>
        </is>
      </c>
      <c r="B22" s="160" t="inlineStr">
        <is>
          <t>17:00</t>
        </is>
      </c>
      <c r="C22" s="157" t="inlineStr">
        <is>
          <t>R</t>
        </is>
      </c>
      <c r="D22" s="157" t="inlineStr">
        <is>
          <t>R</t>
        </is>
      </c>
      <c r="E22" s="157" t="inlineStr">
        <is>
          <t>R</t>
        </is>
      </c>
      <c r="F22" s="157" t="inlineStr">
        <is>
          <t>R</t>
        </is>
      </c>
      <c r="G22" s="157" t="inlineStr">
        <is>
          <t>R</t>
        </is>
      </c>
      <c r="H22" s="157" t="inlineStr">
        <is>
          <t>R</t>
        </is>
      </c>
      <c r="I22" s="158" t="inlineStr"/>
      <c r="J22" s="158" t="inlineStr"/>
      <c r="K22" s="158" t="inlineStr"/>
      <c r="L22" s="158" t="inlineStr"/>
      <c r="M22" s="158" t="inlineStr"/>
    </row>
    <row r="23" ht="22" customHeight="1" s="107">
      <c r="A23" s="155" t="inlineStr">
        <is>
          <t>D1</t>
        </is>
      </c>
      <c r="B23" s="156" t="inlineStr">
        <is>
          <t>17:30</t>
        </is>
      </c>
      <c r="C23" s="157" t="inlineStr">
        <is>
          <t>R</t>
        </is>
      </c>
      <c r="D23" s="157" t="inlineStr">
        <is>
          <t>R</t>
        </is>
      </c>
      <c r="E23" s="157" t="inlineStr">
        <is>
          <t>R</t>
        </is>
      </c>
      <c r="F23" s="157" t="inlineStr">
        <is>
          <t>R</t>
        </is>
      </c>
      <c r="G23" s="157" t="inlineStr">
        <is>
          <t>R</t>
        </is>
      </c>
      <c r="H23" s="157" t="inlineStr">
        <is>
          <t>R</t>
        </is>
      </c>
      <c r="I23" s="158" t="inlineStr"/>
      <c r="J23" s="158" t="inlineStr"/>
      <c r="K23" s="158" t="inlineStr"/>
      <c r="L23" s="158" t="inlineStr"/>
      <c r="M23" s="158" t="inlineStr"/>
    </row>
    <row r="24" ht="22" customHeight="1" s="107">
      <c r="A24" s="151" t="inlineStr">
        <is>
          <t>D2</t>
        </is>
      </c>
      <c r="B24" s="152" t="inlineStr">
        <is>
          <t>08:00</t>
        </is>
      </c>
      <c r="C24" s="153" t="inlineStr">
        <is>
          <t>R</t>
        </is>
      </c>
      <c r="D24" s="153" t="inlineStr">
        <is>
          <t>R</t>
        </is>
      </c>
      <c r="E24" s="153" t="inlineStr">
        <is>
          <t>R</t>
        </is>
      </c>
      <c r="F24" s="153" t="inlineStr">
        <is>
          <t>R</t>
        </is>
      </c>
      <c r="G24" s="153" t="inlineStr">
        <is>
          <t>R</t>
        </is>
      </c>
      <c r="H24" s="153" t="inlineStr">
        <is>
          <t>R</t>
        </is>
      </c>
      <c r="I24" s="154" t="inlineStr"/>
      <c r="J24" s="154" t="inlineStr"/>
      <c r="K24" s="154" t="inlineStr"/>
      <c r="L24" s="154" t="inlineStr"/>
      <c r="M24" s="154" t="inlineStr"/>
    </row>
    <row r="25" ht="22" customHeight="1" s="107">
      <c r="A25" s="155" t="inlineStr">
        <is>
          <t>D2</t>
        </is>
      </c>
      <c r="B25" s="156" t="inlineStr">
        <is>
          <t>08:30</t>
        </is>
      </c>
      <c r="C25" s="157" t="inlineStr">
        <is>
          <t>R</t>
        </is>
      </c>
      <c r="D25" s="157" t="inlineStr">
        <is>
          <t>R</t>
        </is>
      </c>
      <c r="E25" s="157" t="inlineStr">
        <is>
          <t>R</t>
        </is>
      </c>
      <c r="F25" s="157" t="inlineStr">
        <is>
          <t>R</t>
        </is>
      </c>
      <c r="G25" s="157" t="inlineStr">
        <is>
          <t>R</t>
        </is>
      </c>
      <c r="H25" s="157" t="inlineStr">
        <is>
          <t>R</t>
        </is>
      </c>
      <c r="I25" s="158" t="inlineStr"/>
      <c r="J25" s="158" t="inlineStr"/>
      <c r="K25" s="158" t="inlineStr"/>
      <c r="L25" s="158" t="inlineStr"/>
      <c r="M25" s="158" t="inlineStr"/>
    </row>
    <row r="26" ht="22" customHeight="1" s="107">
      <c r="A26" s="159" t="inlineStr">
        <is>
          <t>D2</t>
        </is>
      </c>
      <c r="B26" s="160" t="inlineStr">
        <is>
          <t>09:00</t>
        </is>
      </c>
      <c r="C26" s="157" t="inlineStr">
        <is>
          <t>R</t>
        </is>
      </c>
      <c r="D26" s="161" t="inlineStr">
        <is>
          <t>Emotional Intelligence
Aisha Johnson</t>
        </is>
      </c>
      <c r="E26" s="161" t="inlineStr">
        <is>
          <t>Security Fundamentals
Alex Novak</t>
        </is>
      </c>
      <c r="F26" s="161" t="inlineStr">
        <is>
          <t>Design Systems
Yuki Tanaka</t>
        </is>
      </c>
      <c r="G26" s="161" t="inlineStr">
        <is>
          <t>Capacity Planning
James Wright</t>
        </is>
      </c>
      <c r="H26" s="157" t="inlineStr">
        <is>
          <t>R</t>
        </is>
      </c>
      <c r="I26" s="158" t="inlineStr"/>
      <c r="J26" s="158" t="inlineStr"/>
      <c r="K26" s="158" t="inlineStr"/>
      <c r="L26" s="158" t="inlineStr"/>
      <c r="M26" s="158" t="inlineStr"/>
    </row>
    <row r="27" ht="22" customHeight="1" s="107">
      <c r="A27" s="155" t="inlineStr">
        <is>
          <t>D2</t>
        </is>
      </c>
      <c r="B27" s="156" t="inlineStr">
        <is>
          <t>09:30</t>
        </is>
      </c>
      <c r="C27" s="157" t="inlineStr">
        <is>
          <t>R</t>
        </is>
      </c>
      <c r="D27" s="162" t="inlineStr">
        <is>
          <t>↓ Emotional Intelligence</t>
        </is>
      </c>
      <c r="E27" s="162" t="inlineStr">
        <is>
          <t>↓ Security Fundamentals</t>
        </is>
      </c>
      <c r="F27" s="162" t="inlineStr">
        <is>
          <t>↓ Design Systems</t>
        </is>
      </c>
      <c r="G27" s="162" t="inlineStr">
        <is>
          <t>↓ Capacity Planning</t>
        </is>
      </c>
      <c r="H27" s="157" t="inlineStr">
        <is>
          <t>R</t>
        </is>
      </c>
      <c r="I27" s="158" t="inlineStr"/>
      <c r="J27" s="158" t="inlineStr"/>
      <c r="K27" s="158" t="inlineStr"/>
      <c r="L27" s="158" t="inlineStr"/>
      <c r="M27" s="158" t="inlineStr"/>
    </row>
    <row r="28" ht="22" customHeight="1" s="107">
      <c r="A28" s="159" t="inlineStr">
        <is>
          <t>D2</t>
        </is>
      </c>
      <c r="B28" s="160" t="inlineStr">
        <is>
          <t>10:00</t>
        </is>
      </c>
      <c r="C28" s="157" t="inlineStr">
        <is>
          <t>R</t>
        </is>
      </c>
      <c r="D28" s="162" t="inlineStr">
        <is>
          <t>↓ Emotional Intelligence</t>
        </is>
      </c>
      <c r="E28" s="162" t="inlineStr">
        <is>
          <t>↓ Security Fundamentals</t>
        </is>
      </c>
      <c r="F28" s="162" t="inlineStr">
        <is>
          <t>↓ Design Systems</t>
        </is>
      </c>
      <c r="G28" s="162" t="inlineStr">
        <is>
          <t>↓ Capacity Planning</t>
        </is>
      </c>
      <c r="H28" s="157" t="inlineStr">
        <is>
          <t>R</t>
        </is>
      </c>
      <c r="I28" s="158" t="inlineStr"/>
      <c r="J28" s="158" t="inlineStr"/>
      <c r="K28" s="158" t="inlineStr"/>
      <c r="L28" s="158" t="inlineStr"/>
      <c r="M28" s="158" t="inlineStr"/>
    </row>
    <row r="29" ht="22" customHeight="1" s="107">
      <c r="A29" s="155" t="inlineStr">
        <is>
          <t>D2</t>
        </is>
      </c>
      <c r="B29" s="156" t="inlineStr">
        <is>
          <t>10:30</t>
        </is>
      </c>
      <c r="C29" s="157" t="inlineStr">
        <is>
          <t>R</t>
        </is>
      </c>
      <c r="D29" s="157" t="inlineStr">
        <is>
          <t>R</t>
        </is>
      </c>
      <c r="E29" s="157" t="inlineStr">
        <is>
          <t>R</t>
        </is>
      </c>
      <c r="F29" s="157" t="inlineStr">
        <is>
          <t>R</t>
        </is>
      </c>
      <c r="G29" s="157" t="inlineStr">
        <is>
          <t>R</t>
        </is>
      </c>
      <c r="H29" s="161" t="inlineStr">
        <is>
          <t>Morning Break</t>
        </is>
      </c>
      <c r="I29" s="158" t="inlineStr"/>
      <c r="J29" s="158" t="inlineStr"/>
      <c r="K29" s="158" t="inlineStr"/>
      <c r="L29" s="158" t="inlineStr"/>
      <c r="M29" s="158" t="inlineStr"/>
    </row>
    <row r="30" ht="22" customHeight="1" s="107">
      <c r="A30" s="159" t="inlineStr">
        <is>
          <t>D2</t>
        </is>
      </c>
      <c r="B30" s="160" t="inlineStr">
        <is>
          <t>11:00</t>
        </is>
      </c>
      <c r="C30" s="161" t="inlineStr">
        <is>
          <t>Panel: Future of Work
Multiple Speakers</t>
        </is>
      </c>
      <c r="D30" s="157" t="inlineStr">
        <is>
          <t>R</t>
        </is>
      </c>
      <c r="E30" s="157" t="inlineStr">
        <is>
          <t>R</t>
        </is>
      </c>
      <c r="F30" s="157" t="inlineStr">
        <is>
          <t>R</t>
        </is>
      </c>
      <c r="G30" s="157" t="inlineStr">
        <is>
          <t>R</t>
        </is>
      </c>
      <c r="H30" s="157" t="inlineStr">
        <is>
          <t>R</t>
        </is>
      </c>
      <c r="I30" s="158" t="inlineStr"/>
      <c r="J30" s="158" t="inlineStr"/>
      <c r="K30" s="158" t="inlineStr"/>
      <c r="L30" s="158" t="inlineStr"/>
      <c r="M30" s="158" t="inlineStr"/>
    </row>
    <row r="31" ht="22" customHeight="1" s="107">
      <c r="A31" s="155" t="inlineStr">
        <is>
          <t>D2</t>
        </is>
      </c>
      <c r="B31" s="156" t="inlineStr">
        <is>
          <t>11:30</t>
        </is>
      </c>
      <c r="C31" s="162" t="inlineStr">
        <is>
          <t>↓ Panel: Future of Work</t>
        </is>
      </c>
      <c r="D31" s="157" t="inlineStr">
        <is>
          <t>R</t>
        </is>
      </c>
      <c r="E31" s="157" t="inlineStr">
        <is>
          <t>R</t>
        </is>
      </c>
      <c r="F31" s="157" t="inlineStr">
        <is>
          <t>R</t>
        </is>
      </c>
      <c r="G31" s="157" t="inlineStr">
        <is>
          <t>R</t>
        </is>
      </c>
      <c r="H31" s="157" t="inlineStr">
        <is>
          <t>R</t>
        </is>
      </c>
      <c r="I31" s="158" t="inlineStr"/>
      <c r="J31" s="158" t="inlineStr"/>
      <c r="K31" s="158" t="inlineStr"/>
      <c r="L31" s="158" t="inlineStr"/>
      <c r="M31" s="158" t="inlineStr"/>
    </row>
    <row r="32" ht="22" customHeight="1" s="107">
      <c r="A32" s="159" t="inlineStr">
        <is>
          <t>D2</t>
        </is>
      </c>
      <c r="B32" s="160" t="inlineStr">
        <is>
          <t>12:00</t>
        </is>
      </c>
      <c r="C32" s="157" t="inlineStr">
        <is>
          <t>R</t>
        </is>
      </c>
      <c r="D32" s="157" t="inlineStr">
        <is>
          <t>R</t>
        </is>
      </c>
      <c r="E32" s="157" t="inlineStr">
        <is>
          <t>R</t>
        </is>
      </c>
      <c r="F32" s="157" t="inlineStr">
        <is>
          <t>R</t>
        </is>
      </c>
      <c r="G32" s="157" t="inlineStr">
        <is>
          <t>R</t>
        </is>
      </c>
      <c r="H32" s="161" t="inlineStr">
        <is>
          <t>Lunch &amp; Networking</t>
        </is>
      </c>
      <c r="I32" s="158" t="inlineStr"/>
      <c r="J32" s="158" t="inlineStr"/>
      <c r="K32" s="158" t="inlineStr"/>
      <c r="L32" s="158" t="inlineStr"/>
      <c r="M32" s="158" t="inlineStr"/>
    </row>
    <row r="33" ht="22" customHeight="1" s="107">
      <c r="A33" s="155" t="inlineStr">
        <is>
          <t>D2</t>
        </is>
      </c>
      <c r="B33" s="156" t="inlineStr">
        <is>
          <t>12:30</t>
        </is>
      </c>
      <c r="C33" s="157" t="inlineStr">
        <is>
          <t>R</t>
        </is>
      </c>
      <c r="D33" s="157" t="inlineStr">
        <is>
          <t>R</t>
        </is>
      </c>
      <c r="E33" s="157" t="inlineStr">
        <is>
          <t>R</t>
        </is>
      </c>
      <c r="F33" s="157" t="inlineStr">
        <is>
          <t>R</t>
        </is>
      </c>
      <c r="G33" s="157" t="inlineStr">
        <is>
          <t>R</t>
        </is>
      </c>
      <c r="H33" s="162" t="inlineStr">
        <is>
          <t>↓ Lunch &amp; Networking</t>
        </is>
      </c>
      <c r="I33" s="158" t="inlineStr"/>
      <c r="J33" s="158" t="inlineStr"/>
      <c r="K33" s="158" t="inlineStr"/>
      <c r="L33" s="158" t="inlineStr"/>
      <c r="M33" s="158" t="inlineStr"/>
    </row>
    <row r="34" ht="22" customHeight="1" s="107">
      <c r="A34" s="159" t="inlineStr">
        <is>
          <t>D2</t>
        </is>
      </c>
      <c r="B34" s="160" t="inlineStr">
        <is>
          <t>13:00</t>
        </is>
      </c>
      <c r="C34" s="157" t="inlineStr">
        <is>
          <t>R</t>
        </is>
      </c>
      <c r="D34" s="161" t="inlineStr">
        <is>
          <t>Conflict Resolution
Mark Torres</t>
        </is>
      </c>
      <c r="E34" s="161" t="inlineStr">
        <is>
          <t>DevOps Practices
Priya Sharma</t>
        </is>
      </c>
      <c r="F34" s="161" t="inlineStr">
        <is>
          <t>Accessibility Workshop
Carlos Ruiz</t>
        </is>
      </c>
      <c r="G34" s="161" t="inlineStr">
        <is>
          <t>Vendor Management
Nina Petrov</t>
        </is>
      </c>
      <c r="H34" s="157" t="inlineStr">
        <is>
          <t>R</t>
        </is>
      </c>
      <c r="I34" s="158" t="inlineStr"/>
      <c r="J34" s="158" t="inlineStr"/>
      <c r="K34" s="158" t="inlineStr"/>
      <c r="L34" s="158" t="inlineStr"/>
      <c r="M34" s="158" t="inlineStr"/>
    </row>
    <row r="35" ht="22" customHeight="1" s="107">
      <c r="A35" s="155" t="inlineStr">
        <is>
          <t>D2</t>
        </is>
      </c>
      <c r="B35" s="156" t="inlineStr">
        <is>
          <t>13:30</t>
        </is>
      </c>
      <c r="C35" s="157" t="inlineStr">
        <is>
          <t>R</t>
        </is>
      </c>
      <c r="D35" s="162" t="inlineStr">
        <is>
          <t>↓ Conflict Resolution</t>
        </is>
      </c>
      <c r="E35" s="162" t="inlineStr">
        <is>
          <t>↓ DevOps Practices</t>
        </is>
      </c>
      <c r="F35" s="162" t="inlineStr">
        <is>
          <t>↓ Accessibility Workshop</t>
        </is>
      </c>
      <c r="G35" s="162" t="inlineStr">
        <is>
          <t>↓ Vendor Management</t>
        </is>
      </c>
      <c r="H35" s="157" t="inlineStr">
        <is>
          <t>R</t>
        </is>
      </c>
      <c r="I35" s="158" t="inlineStr"/>
      <c r="J35" s="158" t="inlineStr"/>
      <c r="K35" s="158" t="inlineStr"/>
      <c r="L35" s="158" t="inlineStr"/>
      <c r="M35" s="158" t="inlineStr"/>
    </row>
    <row r="36" ht="22" customHeight="1" s="107">
      <c r="A36" s="159" t="inlineStr">
        <is>
          <t>D2</t>
        </is>
      </c>
      <c r="B36" s="160" t="inlineStr">
        <is>
          <t>14:00</t>
        </is>
      </c>
      <c r="C36" s="157" t="inlineStr">
        <is>
          <t>R</t>
        </is>
      </c>
      <c r="D36" s="162" t="inlineStr">
        <is>
          <t>↓ Conflict Resolution</t>
        </is>
      </c>
      <c r="E36" s="162" t="inlineStr">
        <is>
          <t>↓ DevOps Practices</t>
        </is>
      </c>
      <c r="F36" s="162" t="inlineStr">
        <is>
          <t>↓ Accessibility Workshop</t>
        </is>
      </c>
      <c r="G36" s="162" t="inlineStr">
        <is>
          <t>↓ Vendor Management</t>
        </is>
      </c>
      <c r="H36" s="157" t="inlineStr">
        <is>
          <t>R</t>
        </is>
      </c>
      <c r="I36" s="158" t="inlineStr"/>
      <c r="J36" s="158" t="inlineStr"/>
      <c r="K36" s="158" t="inlineStr"/>
      <c r="L36" s="158" t="inlineStr"/>
      <c r="M36" s="158" t="inlineStr"/>
    </row>
    <row r="37" ht="22" customHeight="1" s="107">
      <c r="A37" s="155" t="inlineStr">
        <is>
          <t>D2</t>
        </is>
      </c>
      <c r="B37" s="156" t="inlineStr">
        <is>
          <t>14:30</t>
        </is>
      </c>
      <c r="C37" s="157" t="inlineStr">
        <is>
          <t>R</t>
        </is>
      </c>
      <c r="D37" s="157" t="inlineStr">
        <is>
          <t>R</t>
        </is>
      </c>
      <c r="E37" s="157" t="inlineStr">
        <is>
          <t>R</t>
        </is>
      </c>
      <c r="F37" s="157" t="inlineStr">
        <is>
          <t>R</t>
        </is>
      </c>
      <c r="G37" s="157" t="inlineStr">
        <is>
          <t>R</t>
        </is>
      </c>
      <c r="H37" s="161" t="inlineStr">
        <is>
          <t>Afternoon Break</t>
        </is>
      </c>
      <c r="I37" s="158" t="inlineStr"/>
      <c r="J37" s="158" t="inlineStr"/>
      <c r="K37" s="158" t="inlineStr"/>
      <c r="L37" s="158" t="inlineStr"/>
      <c r="M37" s="158" t="inlineStr"/>
    </row>
    <row r="38" ht="22" customHeight="1" s="107">
      <c r="A38" s="159" t="inlineStr">
        <is>
          <t>D2</t>
        </is>
      </c>
      <c r="B38" s="160" t="inlineStr">
        <is>
          <t>15:00</t>
        </is>
      </c>
      <c r="C38" s="157" t="inlineStr">
        <is>
          <t>R</t>
        </is>
      </c>
      <c r="D38" s="161" t="inlineStr">
        <is>
          <t>Strategic Planning
Tom Bradley</t>
        </is>
      </c>
      <c r="E38" s="161" t="inlineStr">
        <is>
          <t>Performance Testing
David Kim</t>
        </is>
      </c>
      <c r="F38" s="161" t="inlineStr">
        <is>
          <t>User Research Methods
Yuki Tanaka</t>
        </is>
      </c>
      <c r="G38" s="161" t="inlineStr">
        <is>
          <t>Budget Forecasting
Rachel Green</t>
        </is>
      </c>
      <c r="H38" s="157" t="inlineStr">
        <is>
          <t>R</t>
        </is>
      </c>
      <c r="I38" s="158" t="inlineStr"/>
      <c r="J38" s="158" t="inlineStr"/>
      <c r="K38" s="158" t="inlineStr"/>
      <c r="L38" s="158" t="inlineStr"/>
      <c r="M38" s="158" t="inlineStr"/>
    </row>
    <row r="39" ht="22" customHeight="1" s="107">
      <c r="A39" s="155" t="inlineStr">
        <is>
          <t>D2</t>
        </is>
      </c>
      <c r="B39" s="156" t="inlineStr">
        <is>
          <t>15:30</t>
        </is>
      </c>
      <c r="C39" s="157" t="inlineStr">
        <is>
          <t>R</t>
        </is>
      </c>
      <c r="D39" s="162" t="inlineStr">
        <is>
          <t>↓ Strategic Planning</t>
        </is>
      </c>
      <c r="E39" s="162" t="inlineStr">
        <is>
          <t>↓ Performance Testing</t>
        </is>
      </c>
      <c r="F39" s="162" t="inlineStr">
        <is>
          <t>↓ User Research Methods</t>
        </is>
      </c>
      <c r="G39" s="162" t="inlineStr">
        <is>
          <t>↓ Budget Forecasting</t>
        </is>
      </c>
      <c r="H39" s="157" t="inlineStr">
        <is>
          <t>R</t>
        </is>
      </c>
      <c r="I39" s="158" t="inlineStr"/>
      <c r="J39" s="158" t="inlineStr"/>
      <c r="K39" s="158" t="inlineStr"/>
      <c r="L39" s="158" t="inlineStr"/>
      <c r="M39" s="158" t="inlineStr"/>
    </row>
    <row r="40" ht="22" customHeight="1" s="107">
      <c r="A40" s="159" t="inlineStr">
        <is>
          <t>D2</t>
        </is>
      </c>
      <c r="B40" s="160" t="inlineStr">
        <is>
          <t>16:00</t>
        </is>
      </c>
      <c r="C40" s="157" t="inlineStr">
        <is>
          <t>R</t>
        </is>
      </c>
      <c r="D40" s="162" t="inlineStr">
        <is>
          <t>↓ Strategic Planning</t>
        </is>
      </c>
      <c r="E40" s="162" t="inlineStr">
        <is>
          <t>↓ Performance Testing</t>
        </is>
      </c>
      <c r="F40" s="162" t="inlineStr">
        <is>
          <t>↓ User Research Methods</t>
        </is>
      </c>
      <c r="G40" s="162" t="inlineStr">
        <is>
          <t>↓ Budget Forecasting</t>
        </is>
      </c>
      <c r="H40" s="157" t="inlineStr">
        <is>
          <t>R</t>
        </is>
      </c>
      <c r="I40" s="158" t="inlineStr"/>
      <c r="J40" s="158" t="inlineStr"/>
      <c r="K40" s="158" t="inlineStr"/>
      <c r="L40" s="158" t="inlineStr"/>
      <c r="M40" s="158" t="inlineStr"/>
    </row>
    <row r="41" ht="22" customHeight="1" s="107">
      <c r="A41" s="155" t="inlineStr">
        <is>
          <t>D2</t>
        </is>
      </c>
      <c r="B41" s="156" t="inlineStr">
        <is>
          <t>16:30</t>
        </is>
      </c>
      <c r="C41" s="157" t="inlineStr">
        <is>
          <t>R</t>
        </is>
      </c>
      <c r="D41" s="157" t="inlineStr">
        <is>
          <t>R</t>
        </is>
      </c>
      <c r="E41" s="157" t="inlineStr">
        <is>
          <t>R</t>
        </is>
      </c>
      <c r="F41" s="157" t="inlineStr">
        <is>
          <t>R</t>
        </is>
      </c>
      <c r="G41" s="157" t="inlineStr">
        <is>
          <t>R</t>
        </is>
      </c>
      <c r="H41" s="157" t="inlineStr">
        <is>
          <t>R</t>
        </is>
      </c>
      <c r="I41" s="158" t="inlineStr"/>
      <c r="J41" s="158" t="inlineStr"/>
      <c r="K41" s="158" t="inlineStr"/>
      <c r="L41" s="158" t="inlineStr"/>
      <c r="M41" s="158" t="inlineStr"/>
    </row>
    <row r="42" ht="22" customHeight="1" s="107">
      <c r="A42" s="159" t="inlineStr">
        <is>
          <t>D2</t>
        </is>
      </c>
      <c r="B42" s="160" t="inlineStr">
        <is>
          <t>17:00</t>
        </is>
      </c>
      <c r="C42" s="157" t="inlineStr">
        <is>
          <t>R</t>
        </is>
      </c>
      <c r="D42" s="157" t="inlineStr">
        <is>
          <t>R</t>
        </is>
      </c>
      <c r="E42" s="157" t="inlineStr">
        <is>
          <t>R</t>
        </is>
      </c>
      <c r="F42" s="157" t="inlineStr">
        <is>
          <t>R</t>
        </is>
      </c>
      <c r="G42" s="157" t="inlineStr">
        <is>
          <t>R</t>
        </is>
      </c>
      <c r="H42" s="157" t="inlineStr">
        <is>
          <t>R</t>
        </is>
      </c>
      <c r="I42" s="158" t="inlineStr"/>
      <c r="J42" s="158" t="inlineStr"/>
      <c r="K42" s="158" t="inlineStr"/>
      <c r="L42" s="158" t="inlineStr"/>
      <c r="M42" s="158" t="inlineStr"/>
    </row>
    <row r="43" ht="22" customHeight="1" s="107">
      <c r="A43" s="155" t="inlineStr">
        <is>
          <t>D2</t>
        </is>
      </c>
      <c r="B43" s="156" t="inlineStr">
        <is>
          <t>17:30</t>
        </is>
      </c>
      <c r="C43" s="157" t="inlineStr">
        <is>
          <t>R</t>
        </is>
      </c>
      <c r="D43" s="157" t="inlineStr">
        <is>
          <t>R</t>
        </is>
      </c>
      <c r="E43" s="157" t="inlineStr">
        <is>
          <t>R</t>
        </is>
      </c>
      <c r="F43" s="157" t="inlineStr">
        <is>
          <t>R</t>
        </is>
      </c>
      <c r="G43" s="157" t="inlineStr">
        <is>
          <t>R</t>
        </is>
      </c>
      <c r="H43" s="157" t="inlineStr">
        <is>
          <t>R</t>
        </is>
      </c>
      <c r="I43" s="158" t="inlineStr"/>
      <c r="J43" s="158" t="inlineStr"/>
      <c r="K43" s="158" t="inlineStr"/>
      <c r="L43" s="158" t="inlineStr"/>
      <c r="M43" s="158" t="inlineStr"/>
    </row>
    <row r="44" ht="22" customHeight="1" s="107">
      <c r="A44" s="151" t="inlineStr">
        <is>
          <t>D3</t>
        </is>
      </c>
      <c r="B44" s="152" t="inlineStr">
        <is>
          <t>08:00</t>
        </is>
      </c>
      <c r="C44" s="153" t="inlineStr">
        <is>
          <t>R</t>
        </is>
      </c>
      <c r="D44" s="153" t="inlineStr">
        <is>
          <t>R</t>
        </is>
      </c>
      <c r="E44" s="153" t="inlineStr">
        <is>
          <t>R</t>
        </is>
      </c>
      <c r="F44" s="153" t="inlineStr">
        <is>
          <t>R</t>
        </is>
      </c>
      <c r="G44" s="153" t="inlineStr">
        <is>
          <t>R</t>
        </is>
      </c>
      <c r="H44" s="153" t="inlineStr">
        <is>
          <t>R</t>
        </is>
      </c>
      <c r="I44" s="154" t="inlineStr"/>
      <c r="J44" s="154" t="inlineStr"/>
      <c r="K44" s="154" t="inlineStr"/>
      <c r="L44" s="154" t="inlineStr"/>
      <c r="M44" s="154" t="inlineStr"/>
    </row>
    <row r="45" ht="22" customHeight="1" s="107">
      <c r="A45" s="155" t="inlineStr">
        <is>
          <t>D3</t>
        </is>
      </c>
      <c r="B45" s="156" t="inlineStr">
        <is>
          <t>08:30</t>
        </is>
      </c>
      <c r="C45" s="157" t="inlineStr">
        <is>
          <t>R</t>
        </is>
      </c>
      <c r="D45" s="157" t="inlineStr">
        <is>
          <t>R</t>
        </is>
      </c>
      <c r="E45" s="157" t="inlineStr">
        <is>
          <t>R</t>
        </is>
      </c>
      <c r="F45" s="157" t="inlineStr">
        <is>
          <t>R</t>
        </is>
      </c>
      <c r="G45" s="157" t="inlineStr">
        <is>
          <t>R</t>
        </is>
      </c>
      <c r="H45" s="157" t="inlineStr">
        <is>
          <t>R</t>
        </is>
      </c>
      <c r="I45" s="158" t="inlineStr"/>
      <c r="J45" s="158" t="inlineStr"/>
      <c r="K45" s="158" t="inlineStr"/>
      <c r="L45" s="158" t="inlineStr"/>
      <c r="M45" s="158" t="inlineStr"/>
    </row>
    <row r="46" ht="22" customHeight="1" s="107">
      <c r="A46" s="159" t="inlineStr">
        <is>
          <t>D3</t>
        </is>
      </c>
      <c r="B46" s="160" t="inlineStr">
        <is>
          <t>09:00</t>
        </is>
      </c>
      <c r="C46" s="161" t="inlineStr">
        <is>
          <t>Midweek Keynote
Dr. Sarah Chen</t>
        </is>
      </c>
      <c r="D46" s="157" t="inlineStr">
        <is>
          <t>R</t>
        </is>
      </c>
      <c r="E46" s="157" t="inlineStr">
        <is>
          <t>R</t>
        </is>
      </c>
      <c r="F46" s="157" t="inlineStr">
        <is>
          <t>R</t>
        </is>
      </c>
      <c r="G46" s="157" t="inlineStr">
        <is>
          <t>R</t>
        </is>
      </c>
      <c r="H46" s="157" t="inlineStr">
        <is>
          <t>R</t>
        </is>
      </c>
      <c r="I46" s="158" t="inlineStr"/>
      <c r="J46" s="158" t="inlineStr"/>
      <c r="K46" s="158" t="inlineStr"/>
      <c r="L46" s="158" t="inlineStr"/>
      <c r="M46" s="158" t="inlineStr"/>
    </row>
    <row r="47" ht="22" customHeight="1" s="107">
      <c r="A47" s="155" t="inlineStr">
        <is>
          <t>D3</t>
        </is>
      </c>
      <c r="B47" s="156" t="inlineStr">
        <is>
          <t>09:30</t>
        </is>
      </c>
      <c r="C47" s="162" t="inlineStr">
        <is>
          <t>↓ Midweek Keynote</t>
        </is>
      </c>
      <c r="D47" s="157" t="inlineStr">
        <is>
          <t>R</t>
        </is>
      </c>
      <c r="E47" s="157" t="inlineStr">
        <is>
          <t>R</t>
        </is>
      </c>
      <c r="F47" s="157" t="inlineStr">
        <is>
          <t>R</t>
        </is>
      </c>
      <c r="G47" s="157" t="inlineStr">
        <is>
          <t>R</t>
        </is>
      </c>
      <c r="H47" s="157" t="inlineStr">
        <is>
          <t>R</t>
        </is>
      </c>
      <c r="I47" s="158" t="inlineStr"/>
      <c r="J47" s="158" t="inlineStr"/>
      <c r="K47" s="158" t="inlineStr"/>
      <c r="L47" s="158" t="inlineStr"/>
      <c r="M47" s="158" t="inlineStr"/>
    </row>
    <row r="48" ht="22" customHeight="1" s="107">
      <c r="A48" s="159" t="inlineStr">
        <is>
          <t>D3</t>
        </is>
      </c>
      <c r="B48" s="160" t="inlineStr">
        <is>
          <t>10:00</t>
        </is>
      </c>
      <c r="C48" s="157" t="inlineStr">
        <is>
          <t>R</t>
        </is>
      </c>
      <c r="D48" s="157" t="inlineStr">
        <is>
          <t>R</t>
        </is>
      </c>
      <c r="E48" s="157" t="inlineStr">
        <is>
          <t>R</t>
        </is>
      </c>
      <c r="F48" s="157" t="inlineStr">
        <is>
          <t>R</t>
        </is>
      </c>
      <c r="G48" s="157" t="inlineStr">
        <is>
          <t>R</t>
        </is>
      </c>
      <c r="H48" s="161" t="inlineStr">
        <is>
          <t>Morning Break</t>
        </is>
      </c>
      <c r="I48" s="158" t="inlineStr"/>
      <c r="J48" s="158" t="inlineStr"/>
      <c r="K48" s="158" t="inlineStr"/>
      <c r="L48" s="158" t="inlineStr"/>
      <c r="M48" s="158" t="inlineStr"/>
    </row>
    <row r="49" ht="22" customHeight="1" s="107">
      <c r="A49" s="155" t="inlineStr">
        <is>
          <t>D3</t>
        </is>
      </c>
      <c r="B49" s="156" t="inlineStr">
        <is>
          <t>10:30</t>
        </is>
      </c>
      <c r="C49" s="157" t="inlineStr">
        <is>
          <t>R</t>
        </is>
      </c>
      <c r="D49" s="161" t="inlineStr">
        <is>
          <t>Cross-Team Collaboration
Aisha Johnson</t>
        </is>
      </c>
      <c r="E49" s="161" t="inlineStr">
        <is>
          <t>AI/ML Integration
Wei Zhang</t>
        </is>
      </c>
      <c r="F49" s="161" t="inlineStr">
        <is>
          <t>Workshop Facilitation
Lena Müller</t>
        </is>
      </c>
      <c r="G49" s="161" t="inlineStr">
        <is>
          <t>Incident Response
Alex Novak</t>
        </is>
      </c>
      <c r="H49" s="157" t="inlineStr">
        <is>
          <t>R</t>
        </is>
      </c>
      <c r="I49" s="158" t="inlineStr"/>
      <c r="J49" s="158" t="inlineStr"/>
      <c r="K49" s="158" t="inlineStr"/>
      <c r="L49" s="158" t="inlineStr"/>
      <c r="M49" s="158" t="inlineStr"/>
    </row>
    <row r="50" ht="22" customHeight="1" s="107">
      <c r="A50" s="159" t="inlineStr">
        <is>
          <t>D3</t>
        </is>
      </c>
      <c r="B50" s="160" t="inlineStr">
        <is>
          <t>11:00</t>
        </is>
      </c>
      <c r="C50" s="157" t="inlineStr">
        <is>
          <t>R</t>
        </is>
      </c>
      <c r="D50" s="162" t="inlineStr">
        <is>
          <t>↓ Cross-Team Collaboration</t>
        </is>
      </c>
      <c r="E50" s="162" t="inlineStr">
        <is>
          <t>↓ AI/ML Integration</t>
        </is>
      </c>
      <c r="F50" s="162" t="inlineStr">
        <is>
          <t>↓ Workshop Facilitation</t>
        </is>
      </c>
      <c r="G50" s="162" t="inlineStr">
        <is>
          <t>↓ Incident Response</t>
        </is>
      </c>
      <c r="H50" s="157" t="inlineStr">
        <is>
          <t>R</t>
        </is>
      </c>
      <c r="I50" s="158" t="inlineStr"/>
      <c r="J50" s="158" t="inlineStr"/>
      <c r="K50" s="158" t="inlineStr"/>
      <c r="L50" s="158" t="inlineStr"/>
      <c r="M50" s="158" t="inlineStr"/>
    </row>
    <row r="51" ht="22" customHeight="1" s="107">
      <c r="A51" s="155" t="inlineStr">
        <is>
          <t>D3</t>
        </is>
      </c>
      <c r="B51" s="156" t="inlineStr">
        <is>
          <t>11:30</t>
        </is>
      </c>
      <c r="C51" s="157" t="inlineStr">
        <is>
          <t>R</t>
        </is>
      </c>
      <c r="D51" s="162" t="inlineStr">
        <is>
          <t>↓ Cross-Team Collaboration</t>
        </is>
      </c>
      <c r="E51" s="162" t="inlineStr">
        <is>
          <t>↓ AI/ML Integration</t>
        </is>
      </c>
      <c r="F51" s="162" t="inlineStr">
        <is>
          <t>↓ Workshop Facilitation</t>
        </is>
      </c>
      <c r="G51" s="162" t="inlineStr">
        <is>
          <t>↓ Incident Response</t>
        </is>
      </c>
      <c r="H51" s="157" t="inlineStr">
        <is>
          <t>R</t>
        </is>
      </c>
      <c r="I51" s="158" t="inlineStr"/>
      <c r="J51" s="158" t="inlineStr"/>
      <c r="K51" s="158" t="inlineStr"/>
      <c r="L51" s="158" t="inlineStr"/>
      <c r="M51" s="158" t="inlineStr"/>
    </row>
    <row r="52" ht="22" customHeight="1" s="107">
      <c r="A52" s="159" t="inlineStr">
        <is>
          <t>D3</t>
        </is>
      </c>
      <c r="B52" s="160" t="inlineStr">
        <is>
          <t>12:00</t>
        </is>
      </c>
      <c r="C52" s="157" t="inlineStr">
        <is>
          <t>R</t>
        </is>
      </c>
      <c r="D52" s="157" t="inlineStr">
        <is>
          <t>R</t>
        </is>
      </c>
      <c r="E52" s="157" t="inlineStr">
        <is>
          <t>R</t>
        </is>
      </c>
      <c r="F52" s="157" t="inlineStr">
        <is>
          <t>R</t>
        </is>
      </c>
      <c r="G52" s="157" t="inlineStr">
        <is>
          <t>R</t>
        </is>
      </c>
      <c r="H52" s="161" t="inlineStr">
        <is>
          <t>Lunch &amp; Networking</t>
        </is>
      </c>
      <c r="I52" s="158" t="inlineStr"/>
      <c r="J52" s="158" t="inlineStr"/>
      <c r="K52" s="158" t="inlineStr"/>
      <c r="L52" s="158" t="inlineStr"/>
      <c r="M52" s="158" t="inlineStr"/>
    </row>
    <row r="53" ht="22" customHeight="1" s="107">
      <c r="A53" s="155" t="inlineStr">
        <is>
          <t>D3</t>
        </is>
      </c>
      <c r="B53" s="156" t="inlineStr">
        <is>
          <t>12:30</t>
        </is>
      </c>
      <c r="C53" s="157" t="inlineStr">
        <is>
          <t>R</t>
        </is>
      </c>
      <c r="D53" s="157" t="inlineStr">
        <is>
          <t>R</t>
        </is>
      </c>
      <c r="E53" s="157" t="inlineStr">
        <is>
          <t>R</t>
        </is>
      </c>
      <c r="F53" s="157" t="inlineStr">
        <is>
          <t>R</t>
        </is>
      </c>
      <c r="G53" s="157" t="inlineStr">
        <is>
          <t>R</t>
        </is>
      </c>
      <c r="H53" s="162" t="inlineStr">
        <is>
          <t>↓ Lunch &amp; Networking</t>
        </is>
      </c>
      <c r="I53" s="158" t="inlineStr"/>
      <c r="J53" s="158" t="inlineStr"/>
      <c r="K53" s="158" t="inlineStr"/>
      <c r="L53" s="158" t="inlineStr"/>
      <c r="M53" s="158" t="inlineStr"/>
    </row>
    <row r="54" ht="22" customHeight="1" s="107">
      <c r="A54" s="159" t="inlineStr">
        <is>
          <t>D3</t>
        </is>
      </c>
      <c r="B54" s="160" t="inlineStr">
        <is>
          <t>13:00</t>
        </is>
      </c>
      <c r="C54" s="157" t="inlineStr">
        <is>
          <t>R</t>
        </is>
      </c>
      <c r="D54" s="161" t="inlineStr">
        <is>
          <t>Cross-Track Hackathon
All Facilitators</t>
        </is>
      </c>
      <c r="E54" s="161" t="inlineStr">
        <is>
          <t>Cross-Track Hackathon
All Facilitators</t>
        </is>
      </c>
      <c r="F54" s="161" t="inlineStr">
        <is>
          <t>Cross-Track Hackathon
All Facilitators</t>
        </is>
      </c>
      <c r="G54" s="161" t="inlineStr">
        <is>
          <t>Cross-Track Hackathon
All Facilitators</t>
        </is>
      </c>
      <c r="H54" s="157" t="inlineStr">
        <is>
          <t>R</t>
        </is>
      </c>
      <c r="I54" s="158" t="inlineStr"/>
      <c r="J54" s="158" t="inlineStr"/>
      <c r="K54" s="158" t="inlineStr"/>
      <c r="L54" s="158" t="inlineStr"/>
      <c r="M54" s="158" t="inlineStr"/>
    </row>
    <row r="55" ht="22" customHeight="1" s="107">
      <c r="A55" s="155" t="inlineStr">
        <is>
          <t>D3</t>
        </is>
      </c>
      <c r="B55" s="156" t="inlineStr">
        <is>
          <t>13:30</t>
        </is>
      </c>
      <c r="C55" s="157" t="inlineStr">
        <is>
          <t>R</t>
        </is>
      </c>
      <c r="D55" s="162" t="inlineStr">
        <is>
          <t>↓ Cross-Track Hackathon</t>
        </is>
      </c>
      <c r="E55" s="162" t="inlineStr">
        <is>
          <t>↓ Cross-Track Hackathon</t>
        </is>
      </c>
      <c r="F55" s="162" t="inlineStr">
        <is>
          <t>↓ Cross-Track Hackathon</t>
        </is>
      </c>
      <c r="G55" s="162" t="inlineStr">
        <is>
          <t>↓ Cross-Track Hackathon</t>
        </is>
      </c>
      <c r="H55" s="157" t="inlineStr">
        <is>
          <t>R</t>
        </is>
      </c>
      <c r="I55" s="158" t="inlineStr"/>
      <c r="J55" s="158" t="inlineStr"/>
      <c r="K55" s="158" t="inlineStr"/>
      <c r="L55" s="158" t="inlineStr"/>
      <c r="M55" s="158" t="inlineStr"/>
    </row>
    <row r="56" ht="22" customHeight="1" s="107">
      <c r="A56" s="159" t="inlineStr">
        <is>
          <t>D3</t>
        </is>
      </c>
      <c r="B56" s="160" t="inlineStr">
        <is>
          <t>14:00</t>
        </is>
      </c>
      <c r="C56" s="157" t="inlineStr">
        <is>
          <t>R</t>
        </is>
      </c>
      <c r="D56" s="162" t="inlineStr">
        <is>
          <t>↓ Cross-Track Hackathon</t>
        </is>
      </c>
      <c r="E56" s="162" t="inlineStr">
        <is>
          <t>↓ Cross-Track Hackathon</t>
        </is>
      </c>
      <c r="F56" s="162" t="inlineStr">
        <is>
          <t>↓ Cross-Track Hackathon</t>
        </is>
      </c>
      <c r="G56" s="162" t="inlineStr">
        <is>
          <t>↓ Cross-Track Hackathon</t>
        </is>
      </c>
      <c r="H56" s="157" t="inlineStr">
        <is>
          <t>R</t>
        </is>
      </c>
      <c r="I56" s="158" t="inlineStr"/>
      <c r="J56" s="158" t="inlineStr"/>
      <c r="K56" s="158" t="inlineStr"/>
      <c r="L56" s="158" t="inlineStr"/>
      <c r="M56" s="158" t="inlineStr"/>
    </row>
    <row r="57" ht="22" customHeight="1" s="107">
      <c r="A57" s="155" t="inlineStr">
        <is>
          <t>D3</t>
        </is>
      </c>
      <c r="B57" s="156" t="inlineStr">
        <is>
          <t>14:30</t>
        </is>
      </c>
      <c r="C57" s="157" t="inlineStr">
        <is>
          <t>R</t>
        </is>
      </c>
      <c r="D57" s="162" t="inlineStr">
        <is>
          <t>↓ Cross-Track Hackathon</t>
        </is>
      </c>
      <c r="E57" s="162" t="inlineStr">
        <is>
          <t>↓ Cross-Track Hackathon</t>
        </is>
      </c>
      <c r="F57" s="162" t="inlineStr">
        <is>
          <t>↓ Cross-Track Hackathon</t>
        </is>
      </c>
      <c r="G57" s="162" t="inlineStr">
        <is>
          <t>↓ Cross-Track Hackathon</t>
        </is>
      </c>
      <c r="H57" s="157" t="inlineStr">
        <is>
          <t>R</t>
        </is>
      </c>
      <c r="I57" s="158" t="inlineStr"/>
      <c r="J57" s="158" t="inlineStr"/>
      <c r="K57" s="158" t="inlineStr"/>
      <c r="L57" s="158" t="inlineStr"/>
      <c r="M57" s="158" t="inlineStr"/>
    </row>
    <row r="58" ht="22" customHeight="1" s="107">
      <c r="A58" s="159" t="inlineStr">
        <is>
          <t>D3</t>
        </is>
      </c>
      <c r="B58" s="160" t="inlineStr">
        <is>
          <t>15:00</t>
        </is>
      </c>
      <c r="C58" s="157" t="inlineStr">
        <is>
          <t>R</t>
        </is>
      </c>
      <c r="D58" s="162" t="inlineStr">
        <is>
          <t>↓ Cross-Track Hackathon</t>
        </is>
      </c>
      <c r="E58" s="162" t="inlineStr">
        <is>
          <t>↓ Cross-Track Hackathon</t>
        </is>
      </c>
      <c r="F58" s="162" t="inlineStr">
        <is>
          <t>↓ Cross-Track Hackathon</t>
        </is>
      </c>
      <c r="G58" s="162" t="inlineStr">
        <is>
          <t>↓ Cross-Track Hackathon</t>
        </is>
      </c>
      <c r="H58" s="157" t="inlineStr">
        <is>
          <t>R</t>
        </is>
      </c>
      <c r="I58" s="158" t="inlineStr"/>
      <c r="J58" s="158" t="inlineStr"/>
      <c r="K58" s="158" t="inlineStr"/>
      <c r="L58" s="158" t="inlineStr"/>
      <c r="M58" s="158" t="inlineStr"/>
    </row>
    <row r="59" ht="22" customHeight="1" s="107">
      <c r="A59" s="155" t="inlineStr">
        <is>
          <t>D3</t>
        </is>
      </c>
      <c r="B59" s="156" t="inlineStr">
        <is>
          <t>15:30</t>
        </is>
      </c>
      <c r="C59" s="157" t="inlineStr">
        <is>
          <t>R</t>
        </is>
      </c>
      <c r="D59" s="162" t="inlineStr">
        <is>
          <t>↓ Cross-Track Hackathon</t>
        </is>
      </c>
      <c r="E59" s="162" t="inlineStr">
        <is>
          <t>↓ Cross-Track Hackathon</t>
        </is>
      </c>
      <c r="F59" s="162" t="inlineStr">
        <is>
          <t>↓ Cross-Track Hackathon</t>
        </is>
      </c>
      <c r="G59" s="162" t="inlineStr">
        <is>
          <t>↓ Cross-Track Hackathon</t>
        </is>
      </c>
      <c r="H59" s="157" t="inlineStr">
        <is>
          <t>R</t>
        </is>
      </c>
      <c r="I59" s="158" t="inlineStr"/>
      <c r="J59" s="158" t="inlineStr"/>
      <c r="K59" s="158" t="inlineStr"/>
      <c r="L59" s="158" t="inlineStr"/>
      <c r="M59" s="158" t="inlineStr"/>
    </row>
    <row r="60" ht="22" customHeight="1" s="107">
      <c r="A60" s="159" t="inlineStr">
        <is>
          <t>D3</t>
        </is>
      </c>
      <c r="B60" s="160" t="inlineStr">
        <is>
          <t>16:00</t>
        </is>
      </c>
      <c r="C60" s="157" t="inlineStr">
        <is>
          <t>R</t>
        </is>
      </c>
      <c r="D60" s="162" t="inlineStr">
        <is>
          <t>↓ Cross-Track Hackathon</t>
        </is>
      </c>
      <c r="E60" s="162" t="inlineStr">
        <is>
          <t>↓ Cross-Track Hackathon</t>
        </is>
      </c>
      <c r="F60" s="162" t="inlineStr">
        <is>
          <t>↓ Cross-Track Hackathon</t>
        </is>
      </c>
      <c r="G60" s="162" t="inlineStr">
        <is>
          <t>↓ Cross-Track Hackathon</t>
        </is>
      </c>
      <c r="H60" s="157" t="inlineStr">
        <is>
          <t>R</t>
        </is>
      </c>
      <c r="I60" s="158" t="inlineStr"/>
      <c r="J60" s="158" t="inlineStr"/>
      <c r="K60" s="158" t="inlineStr"/>
      <c r="L60" s="158" t="inlineStr"/>
      <c r="M60" s="158" t="inlineStr"/>
    </row>
    <row r="61" ht="22" customHeight="1" s="107">
      <c r="A61" s="155" t="inlineStr">
        <is>
          <t>D3</t>
        </is>
      </c>
      <c r="B61" s="156" t="inlineStr">
        <is>
          <t>16:30</t>
        </is>
      </c>
      <c r="C61" s="157" t="inlineStr">
        <is>
          <t>R</t>
        </is>
      </c>
      <c r="D61" s="157" t="inlineStr">
        <is>
          <t>R</t>
        </is>
      </c>
      <c r="E61" s="157" t="inlineStr">
        <is>
          <t>R</t>
        </is>
      </c>
      <c r="F61" s="157" t="inlineStr">
        <is>
          <t>R</t>
        </is>
      </c>
      <c r="G61" s="157" t="inlineStr">
        <is>
          <t>R</t>
        </is>
      </c>
      <c r="H61" s="157" t="inlineStr">
        <is>
          <t>R</t>
        </is>
      </c>
      <c r="I61" s="158" t="inlineStr"/>
      <c r="J61" s="158" t="inlineStr"/>
      <c r="K61" s="158" t="inlineStr"/>
      <c r="L61" s="158" t="inlineStr"/>
      <c r="M61" s="158" t="inlineStr"/>
    </row>
    <row r="62" ht="22" customHeight="1" s="107">
      <c r="A62" s="159" t="inlineStr">
        <is>
          <t>D3</t>
        </is>
      </c>
      <c r="B62" s="160" t="inlineStr">
        <is>
          <t>17:00</t>
        </is>
      </c>
      <c r="C62" s="157" t="inlineStr">
        <is>
          <t>R</t>
        </is>
      </c>
      <c r="D62" s="157" t="inlineStr">
        <is>
          <t>R</t>
        </is>
      </c>
      <c r="E62" s="157" t="inlineStr">
        <is>
          <t>R</t>
        </is>
      </c>
      <c r="F62" s="157" t="inlineStr">
        <is>
          <t>R</t>
        </is>
      </c>
      <c r="G62" s="157" t="inlineStr">
        <is>
          <t>R</t>
        </is>
      </c>
      <c r="H62" s="157" t="inlineStr">
        <is>
          <t>R</t>
        </is>
      </c>
      <c r="I62" s="158" t="inlineStr"/>
      <c r="J62" s="158" t="inlineStr"/>
      <c r="K62" s="158" t="inlineStr"/>
      <c r="L62" s="158" t="inlineStr"/>
      <c r="M62" s="158" t="inlineStr"/>
    </row>
    <row r="63" ht="22" customHeight="1" s="107">
      <c r="A63" s="155" t="inlineStr">
        <is>
          <t>D3</t>
        </is>
      </c>
      <c r="B63" s="156" t="inlineStr">
        <is>
          <t>17:30</t>
        </is>
      </c>
      <c r="C63" s="157" t="inlineStr">
        <is>
          <t>R</t>
        </is>
      </c>
      <c r="D63" s="157" t="inlineStr">
        <is>
          <t>R</t>
        </is>
      </c>
      <c r="E63" s="157" t="inlineStr">
        <is>
          <t>R</t>
        </is>
      </c>
      <c r="F63" s="157" t="inlineStr">
        <is>
          <t>R</t>
        </is>
      </c>
      <c r="G63" s="157" t="inlineStr">
        <is>
          <t>R</t>
        </is>
      </c>
      <c r="H63" s="157" t="inlineStr">
        <is>
          <t>R</t>
        </is>
      </c>
      <c r="I63" s="158" t="inlineStr"/>
      <c r="J63" s="158" t="inlineStr"/>
      <c r="K63" s="158" t="inlineStr"/>
      <c r="L63" s="158" t="inlineStr"/>
      <c r="M63" s="158" t="inlineStr"/>
    </row>
    <row r="64" ht="22" customHeight="1" s="107">
      <c r="A64" s="151" t="inlineStr">
        <is>
          <t>D4</t>
        </is>
      </c>
      <c r="B64" s="152" t="inlineStr">
        <is>
          <t>08:00</t>
        </is>
      </c>
      <c r="C64" s="153" t="inlineStr">
        <is>
          <t>R</t>
        </is>
      </c>
      <c r="D64" s="153" t="inlineStr">
        <is>
          <t>R</t>
        </is>
      </c>
      <c r="E64" s="153" t="inlineStr">
        <is>
          <t>R</t>
        </is>
      </c>
      <c r="F64" s="153" t="inlineStr">
        <is>
          <t>R</t>
        </is>
      </c>
      <c r="G64" s="153" t="inlineStr">
        <is>
          <t>R</t>
        </is>
      </c>
      <c r="H64" s="153" t="inlineStr">
        <is>
          <t>R</t>
        </is>
      </c>
      <c r="I64" s="154" t="inlineStr"/>
      <c r="J64" s="154" t="inlineStr"/>
      <c r="K64" s="154" t="inlineStr"/>
      <c r="L64" s="154" t="inlineStr"/>
      <c r="M64" s="154" t="inlineStr"/>
    </row>
    <row r="65" ht="22" customHeight="1" s="107">
      <c r="A65" s="155" t="inlineStr">
        <is>
          <t>D4</t>
        </is>
      </c>
      <c r="B65" s="156" t="inlineStr">
        <is>
          <t>08:30</t>
        </is>
      </c>
      <c r="C65" s="157" t="inlineStr">
        <is>
          <t>R</t>
        </is>
      </c>
      <c r="D65" s="157" t="inlineStr">
        <is>
          <t>R</t>
        </is>
      </c>
      <c r="E65" s="157" t="inlineStr">
        <is>
          <t>R</t>
        </is>
      </c>
      <c r="F65" s="157" t="inlineStr">
        <is>
          <t>R</t>
        </is>
      </c>
      <c r="G65" s="157" t="inlineStr">
        <is>
          <t>R</t>
        </is>
      </c>
      <c r="H65" s="157" t="inlineStr">
        <is>
          <t>R</t>
        </is>
      </c>
      <c r="I65" s="158" t="inlineStr"/>
      <c r="J65" s="158" t="inlineStr"/>
      <c r="K65" s="158" t="inlineStr"/>
      <c r="L65" s="158" t="inlineStr"/>
      <c r="M65" s="158" t="inlineStr"/>
    </row>
    <row r="66" ht="22" customHeight="1" s="107">
      <c r="A66" s="159" t="inlineStr">
        <is>
          <t>D4</t>
        </is>
      </c>
      <c r="B66" s="160" t="inlineStr">
        <is>
          <t>09:00</t>
        </is>
      </c>
      <c r="C66" s="157" t="inlineStr">
        <is>
          <t>R</t>
        </is>
      </c>
      <c r="D66" s="161" t="inlineStr">
        <is>
          <t>Coaching Skills
Mark Torres</t>
        </is>
      </c>
      <c r="E66" s="161" t="inlineStr">
        <is>
          <t>System Architecture
David Kim</t>
        </is>
      </c>
      <c r="F66" s="161" t="inlineStr">
        <is>
          <t>Data Visualization
Carlos Ruiz</t>
        </is>
      </c>
      <c r="G66" s="161" t="inlineStr">
        <is>
          <t>Change Management
James Wright</t>
        </is>
      </c>
      <c r="H66" s="157" t="inlineStr">
        <is>
          <t>R</t>
        </is>
      </c>
      <c r="I66" s="158" t="inlineStr"/>
      <c r="J66" s="158" t="inlineStr"/>
      <c r="K66" s="158" t="inlineStr"/>
      <c r="L66" s="158" t="inlineStr"/>
      <c r="M66" s="158" t="inlineStr"/>
    </row>
    <row r="67" ht="22" customHeight="1" s="107">
      <c r="A67" s="155" t="inlineStr">
        <is>
          <t>D4</t>
        </is>
      </c>
      <c r="B67" s="156" t="inlineStr">
        <is>
          <t>09:30</t>
        </is>
      </c>
      <c r="C67" s="157" t="inlineStr">
        <is>
          <t>R</t>
        </is>
      </c>
      <c r="D67" s="162" t="inlineStr">
        <is>
          <t>↓ Coaching Skills</t>
        </is>
      </c>
      <c r="E67" s="162" t="inlineStr">
        <is>
          <t>↓ System Architecture</t>
        </is>
      </c>
      <c r="F67" s="162" t="inlineStr">
        <is>
          <t>↓ Data Visualization</t>
        </is>
      </c>
      <c r="G67" s="162" t="inlineStr">
        <is>
          <t>↓ Change Management</t>
        </is>
      </c>
      <c r="H67" s="157" t="inlineStr">
        <is>
          <t>R</t>
        </is>
      </c>
      <c r="I67" s="158" t="inlineStr"/>
      <c r="J67" s="158" t="inlineStr"/>
      <c r="K67" s="158" t="inlineStr"/>
      <c r="L67" s="158" t="inlineStr"/>
      <c r="M67" s="158" t="inlineStr"/>
    </row>
    <row r="68" ht="22" customHeight="1" s="107">
      <c r="A68" s="159" t="inlineStr">
        <is>
          <t>D4</t>
        </is>
      </c>
      <c r="B68" s="160" t="inlineStr">
        <is>
          <t>10:00</t>
        </is>
      </c>
      <c r="C68" s="157" t="inlineStr">
        <is>
          <t>R</t>
        </is>
      </c>
      <c r="D68" s="162" t="inlineStr">
        <is>
          <t>↓ Coaching Skills</t>
        </is>
      </c>
      <c r="E68" s="162" t="inlineStr">
        <is>
          <t>↓ System Architecture</t>
        </is>
      </c>
      <c r="F68" s="162" t="inlineStr">
        <is>
          <t>↓ Data Visualization</t>
        </is>
      </c>
      <c r="G68" s="162" t="inlineStr">
        <is>
          <t>↓ Change Management</t>
        </is>
      </c>
      <c r="H68" s="157" t="inlineStr">
        <is>
          <t>R</t>
        </is>
      </c>
      <c r="I68" s="158" t="inlineStr"/>
      <c r="J68" s="158" t="inlineStr"/>
      <c r="K68" s="158" t="inlineStr"/>
      <c r="L68" s="158" t="inlineStr"/>
      <c r="M68" s="158" t="inlineStr"/>
    </row>
    <row r="69" ht="22" customHeight="1" s="107">
      <c r="A69" s="155" t="inlineStr">
        <is>
          <t>D4</t>
        </is>
      </c>
      <c r="B69" s="156" t="inlineStr">
        <is>
          <t>10:30</t>
        </is>
      </c>
      <c r="C69" s="157" t="inlineStr">
        <is>
          <t>R</t>
        </is>
      </c>
      <c r="D69" s="157" t="inlineStr">
        <is>
          <t>R</t>
        </is>
      </c>
      <c r="E69" s="157" t="inlineStr">
        <is>
          <t>R</t>
        </is>
      </c>
      <c r="F69" s="157" t="inlineStr">
        <is>
          <t>R</t>
        </is>
      </c>
      <c r="G69" s="157" t="inlineStr">
        <is>
          <t>R</t>
        </is>
      </c>
      <c r="H69" s="161" t="inlineStr">
        <is>
          <t>Morning Break</t>
        </is>
      </c>
      <c r="I69" s="158" t="inlineStr"/>
      <c r="J69" s="158" t="inlineStr"/>
      <c r="K69" s="158" t="inlineStr"/>
      <c r="L69" s="158" t="inlineStr"/>
      <c r="M69" s="158" t="inlineStr"/>
    </row>
    <row r="70" ht="22" customHeight="1" s="107">
      <c r="A70" s="159" t="inlineStr">
        <is>
          <t>D4</t>
        </is>
      </c>
      <c r="B70" s="160" t="inlineStr">
        <is>
          <t>11:00</t>
        </is>
      </c>
      <c r="C70" s="157" t="inlineStr">
        <is>
          <t>R</t>
        </is>
      </c>
      <c r="D70" s="161" t="inlineStr">
        <is>
          <t>Presentation Mastery
Tom Bradley</t>
        </is>
      </c>
      <c r="E70" s="161" t="inlineStr">
        <is>
          <t>Testing Strategies
Priya Sharma</t>
        </is>
      </c>
      <c r="F70" s="161" t="inlineStr">
        <is>
          <t>Design Critiques
Yuki Tanaka</t>
        </is>
      </c>
      <c r="G70" s="161" t="inlineStr">
        <is>
          <t>Process Automation
Nina Petrov</t>
        </is>
      </c>
      <c r="H70" s="157" t="inlineStr">
        <is>
          <t>R</t>
        </is>
      </c>
      <c r="I70" s="158" t="inlineStr"/>
      <c r="J70" s="158" t="inlineStr"/>
      <c r="K70" s="158" t="inlineStr"/>
      <c r="L70" s="158" t="inlineStr"/>
      <c r="M70" s="158" t="inlineStr"/>
    </row>
    <row r="71" ht="22" customHeight="1" s="107">
      <c r="A71" s="155" t="inlineStr">
        <is>
          <t>D4</t>
        </is>
      </c>
      <c r="B71" s="156" t="inlineStr">
        <is>
          <t>11:30</t>
        </is>
      </c>
      <c r="C71" s="157" t="inlineStr">
        <is>
          <t>R</t>
        </is>
      </c>
      <c r="D71" s="162" t="inlineStr">
        <is>
          <t>↓ Presentation Mastery</t>
        </is>
      </c>
      <c r="E71" s="162" t="inlineStr">
        <is>
          <t>↓ Testing Strategies</t>
        </is>
      </c>
      <c r="F71" s="162" t="inlineStr">
        <is>
          <t>↓ Design Critiques</t>
        </is>
      </c>
      <c r="G71" s="162" t="inlineStr">
        <is>
          <t>↓ Process Automation</t>
        </is>
      </c>
      <c r="H71" s="157" t="inlineStr">
        <is>
          <t>R</t>
        </is>
      </c>
      <c r="I71" s="158" t="inlineStr"/>
      <c r="J71" s="158" t="inlineStr"/>
      <c r="K71" s="158" t="inlineStr"/>
      <c r="L71" s="158" t="inlineStr"/>
      <c r="M71" s="158" t="inlineStr"/>
    </row>
    <row r="72" ht="22" customHeight="1" s="107">
      <c r="A72" s="159" t="inlineStr">
        <is>
          <t>D4</t>
        </is>
      </c>
      <c r="B72" s="160" t="inlineStr">
        <is>
          <t>12:00</t>
        </is>
      </c>
      <c r="C72" s="157" t="inlineStr">
        <is>
          <t>R</t>
        </is>
      </c>
      <c r="D72" s="162" t="inlineStr">
        <is>
          <t>↓ Presentation Mastery</t>
        </is>
      </c>
      <c r="E72" s="162" t="inlineStr">
        <is>
          <t>↓ Testing Strategies</t>
        </is>
      </c>
      <c r="F72" s="162" t="inlineStr">
        <is>
          <t>↓ Design Critiques</t>
        </is>
      </c>
      <c r="G72" s="162" t="inlineStr">
        <is>
          <t>↓ Process Automation</t>
        </is>
      </c>
      <c r="H72" s="157" t="inlineStr">
        <is>
          <t>R</t>
        </is>
      </c>
      <c r="I72" s="158" t="inlineStr"/>
      <c r="J72" s="158" t="inlineStr"/>
      <c r="K72" s="158" t="inlineStr"/>
      <c r="L72" s="158" t="inlineStr"/>
      <c r="M72" s="158" t="inlineStr"/>
    </row>
    <row r="73" ht="22" customHeight="1" s="107">
      <c r="A73" s="155" t="inlineStr">
        <is>
          <t>D4</t>
        </is>
      </c>
      <c r="B73" s="156" t="inlineStr">
        <is>
          <t>12:30</t>
        </is>
      </c>
      <c r="C73" s="157" t="inlineStr">
        <is>
          <t>R</t>
        </is>
      </c>
      <c r="D73" s="157" t="inlineStr">
        <is>
          <t>R</t>
        </is>
      </c>
      <c r="E73" s="157" t="inlineStr">
        <is>
          <t>R</t>
        </is>
      </c>
      <c r="F73" s="157" t="inlineStr">
        <is>
          <t>R</t>
        </is>
      </c>
      <c r="G73" s="157" t="inlineStr">
        <is>
          <t>R</t>
        </is>
      </c>
      <c r="H73" s="161" t="inlineStr">
        <is>
          <t>Lunch &amp; Networking</t>
        </is>
      </c>
      <c r="I73" s="158" t="inlineStr"/>
      <c r="J73" s="158" t="inlineStr"/>
      <c r="K73" s="158" t="inlineStr"/>
      <c r="L73" s="158" t="inlineStr"/>
      <c r="M73" s="158" t="inlineStr"/>
    </row>
    <row r="74" ht="22" customHeight="1" s="107">
      <c r="A74" s="159" t="inlineStr">
        <is>
          <t>D4</t>
        </is>
      </c>
      <c r="B74" s="160" t="inlineStr">
        <is>
          <t>13:00</t>
        </is>
      </c>
      <c r="C74" s="157" t="inlineStr">
        <is>
          <t>R</t>
        </is>
      </c>
      <c r="D74" s="157" t="inlineStr">
        <is>
          <t>R</t>
        </is>
      </c>
      <c r="E74" s="157" t="inlineStr">
        <is>
          <t>R</t>
        </is>
      </c>
      <c r="F74" s="157" t="inlineStr">
        <is>
          <t>R</t>
        </is>
      </c>
      <c r="G74" s="157" t="inlineStr">
        <is>
          <t>R</t>
        </is>
      </c>
      <c r="H74" s="162" t="inlineStr">
        <is>
          <t>↓ Lunch &amp; Networking</t>
        </is>
      </c>
      <c r="I74" s="158" t="inlineStr"/>
      <c r="J74" s="158" t="inlineStr"/>
      <c r="K74" s="158" t="inlineStr"/>
      <c r="L74" s="158" t="inlineStr"/>
      <c r="M74" s="158" t="inlineStr"/>
    </row>
    <row r="75" ht="22" customHeight="1" s="107">
      <c r="A75" s="155" t="inlineStr">
        <is>
          <t>D4</t>
        </is>
      </c>
      <c r="B75" s="156" t="inlineStr">
        <is>
          <t>13:30</t>
        </is>
      </c>
      <c r="C75" s="157" t="inlineStr">
        <is>
          <t>R</t>
        </is>
      </c>
      <c r="D75" s="161" t="inlineStr">
        <is>
          <t>Succession Planning
Aisha Johnson</t>
        </is>
      </c>
      <c r="E75" s="161" t="inlineStr">
        <is>
          <t>Code Review Culture
Alex Novak</t>
        </is>
      </c>
      <c r="F75" s="161" t="inlineStr">
        <is>
          <t>Design Handoff
Lena Müller</t>
        </is>
      </c>
      <c r="G75" s="161" t="inlineStr">
        <is>
          <t>KPI Dashboards
Rachel Green</t>
        </is>
      </c>
      <c r="H75" s="157" t="inlineStr">
        <is>
          <t>R</t>
        </is>
      </c>
      <c r="I75" s="158" t="inlineStr"/>
      <c r="J75" s="158" t="inlineStr"/>
      <c r="K75" s="158" t="inlineStr"/>
      <c r="L75" s="158" t="inlineStr"/>
      <c r="M75" s="158" t="inlineStr"/>
    </row>
    <row r="76" ht="22" customHeight="1" s="107">
      <c r="A76" s="159" t="inlineStr">
        <is>
          <t>D4</t>
        </is>
      </c>
      <c r="B76" s="160" t="inlineStr">
        <is>
          <t>14:00</t>
        </is>
      </c>
      <c r="C76" s="157" t="inlineStr">
        <is>
          <t>R</t>
        </is>
      </c>
      <c r="D76" s="162" t="inlineStr">
        <is>
          <t>↓ Succession Planning</t>
        </is>
      </c>
      <c r="E76" s="162" t="inlineStr">
        <is>
          <t>↓ Code Review Culture</t>
        </is>
      </c>
      <c r="F76" s="162" t="inlineStr">
        <is>
          <t>↓ Design Handoff</t>
        </is>
      </c>
      <c r="G76" s="162" t="inlineStr">
        <is>
          <t>↓ KPI Dashboards</t>
        </is>
      </c>
      <c r="H76" s="157" t="inlineStr">
        <is>
          <t>R</t>
        </is>
      </c>
      <c r="I76" s="158" t="inlineStr"/>
      <c r="J76" s="158" t="inlineStr"/>
      <c r="K76" s="158" t="inlineStr"/>
      <c r="L76" s="158" t="inlineStr"/>
      <c r="M76" s="158" t="inlineStr"/>
    </row>
    <row r="77" ht="22" customHeight="1" s="107">
      <c r="A77" s="155" t="inlineStr">
        <is>
          <t>D4</t>
        </is>
      </c>
      <c r="B77" s="156" t="inlineStr">
        <is>
          <t>14:30</t>
        </is>
      </c>
      <c r="C77" s="157" t="inlineStr">
        <is>
          <t>R</t>
        </is>
      </c>
      <c r="D77" s="162" t="inlineStr">
        <is>
          <t>↓ Succession Planning</t>
        </is>
      </c>
      <c r="E77" s="162" t="inlineStr">
        <is>
          <t>↓ Code Review Culture</t>
        </is>
      </c>
      <c r="F77" s="162" t="inlineStr">
        <is>
          <t>↓ Design Handoff</t>
        </is>
      </c>
      <c r="G77" s="162" t="inlineStr">
        <is>
          <t>↓ KPI Dashboards</t>
        </is>
      </c>
      <c r="H77" s="157" t="inlineStr">
        <is>
          <t>R</t>
        </is>
      </c>
      <c r="I77" s="158" t="inlineStr"/>
      <c r="J77" s="158" t="inlineStr"/>
      <c r="K77" s="158" t="inlineStr"/>
      <c r="L77" s="158" t="inlineStr"/>
      <c r="M77" s="158" t="inlineStr"/>
    </row>
    <row r="78" ht="22" customHeight="1" s="107">
      <c r="A78" s="159" t="inlineStr">
        <is>
          <t>D4</t>
        </is>
      </c>
      <c r="B78" s="160" t="inlineStr">
        <is>
          <t>15:00</t>
        </is>
      </c>
      <c r="C78" s="157" t="inlineStr">
        <is>
          <t>R</t>
        </is>
      </c>
      <c r="D78" s="157" t="inlineStr">
        <is>
          <t>R</t>
        </is>
      </c>
      <c r="E78" s="157" t="inlineStr">
        <is>
          <t>R</t>
        </is>
      </c>
      <c r="F78" s="157" t="inlineStr">
        <is>
          <t>R</t>
        </is>
      </c>
      <c r="G78" s="157" t="inlineStr">
        <is>
          <t>R</t>
        </is>
      </c>
      <c r="H78" s="161" t="inlineStr">
        <is>
          <t>Afternoon Break</t>
        </is>
      </c>
      <c r="I78" s="158" t="inlineStr"/>
      <c r="J78" s="158" t="inlineStr"/>
      <c r="K78" s="158" t="inlineStr"/>
      <c r="L78" s="158" t="inlineStr"/>
      <c r="M78" s="158" t="inlineStr"/>
    </row>
    <row r="79" ht="22" customHeight="1" s="107">
      <c r="A79" s="155" t="inlineStr">
        <is>
          <t>D4</t>
        </is>
      </c>
      <c r="B79" s="156" t="inlineStr">
        <is>
          <t>15:30</t>
        </is>
      </c>
      <c r="C79" s="161" t="inlineStr">
        <is>
          <t>Hackathon Presentations
Selected Teams</t>
        </is>
      </c>
      <c r="D79" s="157" t="inlineStr">
        <is>
          <t>R</t>
        </is>
      </c>
      <c r="E79" s="157" t="inlineStr">
        <is>
          <t>R</t>
        </is>
      </c>
      <c r="F79" s="157" t="inlineStr">
        <is>
          <t>R</t>
        </is>
      </c>
      <c r="G79" s="157" t="inlineStr">
        <is>
          <t>R</t>
        </is>
      </c>
      <c r="H79" s="157" t="inlineStr">
        <is>
          <t>R</t>
        </is>
      </c>
      <c r="I79" s="158" t="inlineStr"/>
      <c r="J79" s="158" t="inlineStr"/>
      <c r="K79" s="158" t="inlineStr"/>
      <c r="L79" s="158" t="inlineStr"/>
      <c r="M79" s="158" t="inlineStr"/>
    </row>
    <row r="80" ht="22" customHeight="1" s="107">
      <c r="A80" s="159" t="inlineStr">
        <is>
          <t>D4</t>
        </is>
      </c>
      <c r="B80" s="160" t="inlineStr">
        <is>
          <t>16:00</t>
        </is>
      </c>
      <c r="C80" s="162" t="inlineStr">
        <is>
          <t>↓ Hackathon Presentations</t>
        </is>
      </c>
      <c r="D80" s="157" t="inlineStr">
        <is>
          <t>R</t>
        </is>
      </c>
      <c r="E80" s="157" t="inlineStr">
        <is>
          <t>R</t>
        </is>
      </c>
      <c r="F80" s="157" t="inlineStr">
        <is>
          <t>R</t>
        </is>
      </c>
      <c r="G80" s="157" t="inlineStr">
        <is>
          <t>R</t>
        </is>
      </c>
      <c r="H80" s="157" t="inlineStr">
        <is>
          <t>R</t>
        </is>
      </c>
      <c r="I80" s="158" t="inlineStr"/>
      <c r="J80" s="158" t="inlineStr"/>
      <c r="K80" s="158" t="inlineStr"/>
      <c r="L80" s="158" t="inlineStr"/>
      <c r="M80" s="158" t="inlineStr"/>
    </row>
    <row r="81" ht="22" customHeight="1" s="107">
      <c r="A81" s="155" t="inlineStr">
        <is>
          <t>D4</t>
        </is>
      </c>
      <c r="B81" s="156" t="inlineStr">
        <is>
          <t>16:30</t>
        </is>
      </c>
      <c r="C81" s="162" t="inlineStr">
        <is>
          <t>↓ Hackathon Presentations</t>
        </is>
      </c>
      <c r="D81" s="157" t="inlineStr">
        <is>
          <t>R</t>
        </is>
      </c>
      <c r="E81" s="157" t="inlineStr">
        <is>
          <t>R</t>
        </is>
      </c>
      <c r="F81" s="157" t="inlineStr">
        <is>
          <t>R</t>
        </is>
      </c>
      <c r="G81" s="157" t="inlineStr">
        <is>
          <t>R</t>
        </is>
      </c>
      <c r="H81" s="157" t="inlineStr">
        <is>
          <t>R</t>
        </is>
      </c>
      <c r="I81" s="158" t="inlineStr"/>
      <c r="J81" s="158" t="inlineStr"/>
      <c r="K81" s="158" t="inlineStr"/>
      <c r="L81" s="158" t="inlineStr"/>
      <c r="M81" s="158" t="inlineStr"/>
    </row>
    <row r="82" ht="22" customHeight="1" s="107">
      <c r="A82" s="159" t="inlineStr">
        <is>
          <t>D4</t>
        </is>
      </c>
      <c r="B82" s="160" t="inlineStr">
        <is>
          <t>17:00</t>
        </is>
      </c>
      <c r="C82" s="157" t="inlineStr">
        <is>
          <t>R</t>
        </is>
      </c>
      <c r="D82" s="157" t="inlineStr">
        <is>
          <t>R</t>
        </is>
      </c>
      <c r="E82" s="157" t="inlineStr">
        <is>
          <t>R</t>
        </is>
      </c>
      <c r="F82" s="157" t="inlineStr">
        <is>
          <t>R</t>
        </is>
      </c>
      <c r="G82" s="157" t="inlineStr">
        <is>
          <t>R</t>
        </is>
      </c>
      <c r="H82" s="157" t="inlineStr">
        <is>
          <t>R</t>
        </is>
      </c>
      <c r="I82" s="158" t="inlineStr"/>
      <c r="J82" s="158" t="inlineStr"/>
      <c r="K82" s="158" t="inlineStr"/>
      <c r="L82" s="158" t="inlineStr"/>
      <c r="M82" s="158" t="inlineStr"/>
    </row>
    <row r="83" ht="22" customHeight="1" s="107">
      <c r="A83" s="155" t="inlineStr">
        <is>
          <t>D4</t>
        </is>
      </c>
      <c r="B83" s="156" t="inlineStr">
        <is>
          <t>17:30</t>
        </is>
      </c>
      <c r="C83" s="157" t="inlineStr">
        <is>
          <t>R</t>
        </is>
      </c>
      <c r="D83" s="157" t="inlineStr">
        <is>
          <t>R</t>
        </is>
      </c>
      <c r="E83" s="157" t="inlineStr">
        <is>
          <t>R</t>
        </is>
      </c>
      <c r="F83" s="157" t="inlineStr">
        <is>
          <t>R</t>
        </is>
      </c>
      <c r="G83" s="157" t="inlineStr">
        <is>
          <t>R</t>
        </is>
      </c>
      <c r="H83" s="157" t="inlineStr">
        <is>
          <t>R</t>
        </is>
      </c>
      <c r="I83" s="158" t="inlineStr"/>
      <c r="J83" s="158" t="inlineStr"/>
      <c r="K83" s="158" t="inlineStr"/>
      <c r="L83" s="158" t="inlineStr"/>
      <c r="M83" s="158" t="inlineStr"/>
    </row>
    <row r="84" ht="22" customHeight="1" s="107">
      <c r="A84" s="151" t="inlineStr">
        <is>
          <t>D5</t>
        </is>
      </c>
      <c r="B84" s="152" t="inlineStr">
        <is>
          <t>08:00</t>
        </is>
      </c>
      <c r="C84" s="153" t="inlineStr">
        <is>
          <t>R</t>
        </is>
      </c>
      <c r="D84" s="153" t="inlineStr">
        <is>
          <t>R</t>
        </is>
      </c>
      <c r="E84" s="153" t="inlineStr">
        <is>
          <t>R</t>
        </is>
      </c>
      <c r="F84" s="153" t="inlineStr">
        <is>
          <t>R</t>
        </is>
      </c>
      <c r="G84" s="153" t="inlineStr">
        <is>
          <t>R</t>
        </is>
      </c>
      <c r="H84" s="153" t="inlineStr">
        <is>
          <t>R</t>
        </is>
      </c>
      <c r="I84" s="154" t="inlineStr"/>
      <c r="J84" s="154" t="inlineStr"/>
      <c r="K84" s="154" t="inlineStr"/>
      <c r="L84" s="154" t="inlineStr"/>
      <c r="M84" s="154" t="inlineStr"/>
    </row>
    <row r="85" ht="22" customHeight="1" s="107">
      <c r="A85" s="155" t="inlineStr">
        <is>
          <t>D5</t>
        </is>
      </c>
      <c r="B85" s="156" t="inlineStr">
        <is>
          <t>08:30</t>
        </is>
      </c>
      <c r="C85" s="157" t="inlineStr">
        <is>
          <t>R</t>
        </is>
      </c>
      <c r="D85" s="157" t="inlineStr">
        <is>
          <t>R</t>
        </is>
      </c>
      <c r="E85" s="157" t="inlineStr">
        <is>
          <t>R</t>
        </is>
      </c>
      <c r="F85" s="157" t="inlineStr">
        <is>
          <t>R</t>
        </is>
      </c>
      <c r="G85" s="157" t="inlineStr">
        <is>
          <t>R</t>
        </is>
      </c>
      <c r="H85" s="157" t="inlineStr">
        <is>
          <t>R</t>
        </is>
      </c>
      <c r="I85" s="158" t="inlineStr"/>
      <c r="J85" s="158" t="inlineStr"/>
      <c r="K85" s="158" t="inlineStr"/>
      <c r="L85" s="158" t="inlineStr"/>
      <c r="M85" s="158" t="inlineStr"/>
    </row>
    <row r="86" ht="22" customHeight="1" s="107">
      <c r="A86" s="159" t="inlineStr">
        <is>
          <t>D5</t>
        </is>
      </c>
      <c r="B86" s="160" t="inlineStr">
        <is>
          <t>09:00</t>
        </is>
      </c>
      <c r="C86" s="157" t="inlineStr">
        <is>
          <t>R</t>
        </is>
      </c>
      <c r="D86" s="161" t="inlineStr">
        <is>
          <t>Personal Action Plans
Mark Torres</t>
        </is>
      </c>
      <c r="E86" s="161" t="inlineStr">
        <is>
          <t>Tech Roadmapping
David Kim</t>
        </is>
      </c>
      <c r="F86" s="161" t="inlineStr">
        <is>
          <t>Portfolio Building
Carlos Ruiz</t>
        </is>
      </c>
      <c r="G86" s="161" t="inlineStr">
        <is>
          <t>Continuous Improvement
James Wright</t>
        </is>
      </c>
      <c r="H86" s="157" t="inlineStr">
        <is>
          <t>R</t>
        </is>
      </c>
      <c r="I86" s="158" t="inlineStr"/>
      <c r="J86" s="158" t="inlineStr"/>
      <c r="K86" s="158" t="inlineStr"/>
      <c r="L86" s="158" t="inlineStr"/>
      <c r="M86" s="158" t="inlineStr"/>
    </row>
    <row r="87" ht="22" customHeight="1" s="107">
      <c r="A87" s="155" t="inlineStr">
        <is>
          <t>D5</t>
        </is>
      </c>
      <c r="B87" s="156" t="inlineStr">
        <is>
          <t>09:30</t>
        </is>
      </c>
      <c r="C87" s="157" t="inlineStr">
        <is>
          <t>R</t>
        </is>
      </c>
      <c r="D87" s="162" t="inlineStr">
        <is>
          <t>↓ Personal Action Plans</t>
        </is>
      </c>
      <c r="E87" s="162" t="inlineStr">
        <is>
          <t>↓ Tech Roadmapping</t>
        </is>
      </c>
      <c r="F87" s="162" t="inlineStr">
        <is>
          <t>↓ Portfolio Building</t>
        </is>
      </c>
      <c r="G87" s="162" t="inlineStr">
        <is>
          <t>↓ Continuous Improvement</t>
        </is>
      </c>
      <c r="H87" s="157" t="inlineStr">
        <is>
          <t>R</t>
        </is>
      </c>
      <c r="I87" s="158" t="inlineStr"/>
      <c r="J87" s="158" t="inlineStr"/>
      <c r="K87" s="158" t="inlineStr"/>
      <c r="L87" s="158" t="inlineStr"/>
      <c r="M87" s="158" t="inlineStr"/>
    </row>
    <row r="88" ht="22" customHeight="1" s="107">
      <c r="A88" s="159" t="inlineStr">
        <is>
          <t>D5</t>
        </is>
      </c>
      <c r="B88" s="160" t="inlineStr">
        <is>
          <t>10:00</t>
        </is>
      </c>
      <c r="C88" s="157" t="inlineStr">
        <is>
          <t>R</t>
        </is>
      </c>
      <c r="D88" s="162" t="inlineStr">
        <is>
          <t>↓ Personal Action Plans</t>
        </is>
      </c>
      <c r="E88" s="162" t="inlineStr">
        <is>
          <t>↓ Tech Roadmapping</t>
        </is>
      </c>
      <c r="F88" s="162" t="inlineStr">
        <is>
          <t>↓ Portfolio Building</t>
        </is>
      </c>
      <c r="G88" s="162" t="inlineStr">
        <is>
          <t>↓ Continuous Improvement</t>
        </is>
      </c>
      <c r="H88" s="157" t="inlineStr">
        <is>
          <t>R</t>
        </is>
      </c>
      <c r="I88" s="158" t="inlineStr"/>
      <c r="J88" s="158" t="inlineStr"/>
      <c r="K88" s="158" t="inlineStr"/>
      <c r="L88" s="158" t="inlineStr"/>
      <c r="M88" s="158" t="inlineStr"/>
    </row>
    <row r="89" ht="22" customHeight="1" s="107">
      <c r="A89" s="155" t="inlineStr">
        <is>
          <t>D5</t>
        </is>
      </c>
      <c r="B89" s="156" t="inlineStr">
        <is>
          <t>10:30</t>
        </is>
      </c>
      <c r="C89" s="157" t="inlineStr">
        <is>
          <t>R</t>
        </is>
      </c>
      <c r="D89" s="157" t="inlineStr">
        <is>
          <t>R</t>
        </is>
      </c>
      <c r="E89" s="157" t="inlineStr">
        <is>
          <t>R</t>
        </is>
      </c>
      <c r="F89" s="157" t="inlineStr">
        <is>
          <t>R</t>
        </is>
      </c>
      <c r="G89" s="157" t="inlineStr">
        <is>
          <t>R</t>
        </is>
      </c>
      <c r="H89" s="161" t="inlineStr">
        <is>
          <t>Morning Break</t>
        </is>
      </c>
      <c r="I89" s="158" t="inlineStr"/>
      <c r="J89" s="158" t="inlineStr"/>
      <c r="K89" s="158" t="inlineStr"/>
      <c r="L89" s="158" t="inlineStr"/>
      <c r="M89" s="158" t="inlineStr"/>
    </row>
    <row r="90" ht="22" customHeight="1" s="107">
      <c r="A90" s="159" t="inlineStr">
        <is>
          <t>D5</t>
        </is>
      </c>
      <c r="B90" s="160" t="inlineStr">
        <is>
          <t>11:00</t>
        </is>
      </c>
      <c r="C90" s="161" t="inlineStr">
        <is>
          <t>Track Showcases
Track Leads</t>
        </is>
      </c>
      <c r="D90" s="157" t="inlineStr">
        <is>
          <t>R</t>
        </is>
      </c>
      <c r="E90" s="157" t="inlineStr">
        <is>
          <t>R</t>
        </is>
      </c>
      <c r="F90" s="157" t="inlineStr">
        <is>
          <t>R</t>
        </is>
      </c>
      <c r="G90" s="157" t="inlineStr">
        <is>
          <t>R</t>
        </is>
      </c>
      <c r="H90" s="157" t="inlineStr">
        <is>
          <t>R</t>
        </is>
      </c>
      <c r="I90" s="158" t="inlineStr"/>
      <c r="J90" s="158" t="inlineStr"/>
      <c r="K90" s="158" t="inlineStr"/>
      <c r="L90" s="158" t="inlineStr"/>
      <c r="M90" s="158" t="inlineStr"/>
    </row>
    <row r="91" ht="22" customHeight="1" s="107">
      <c r="A91" s="155" t="inlineStr">
        <is>
          <t>D5</t>
        </is>
      </c>
      <c r="B91" s="156" t="inlineStr">
        <is>
          <t>11:30</t>
        </is>
      </c>
      <c r="C91" s="162" t="inlineStr">
        <is>
          <t>↓ Track Showcases</t>
        </is>
      </c>
      <c r="D91" s="157" t="inlineStr">
        <is>
          <t>R</t>
        </is>
      </c>
      <c r="E91" s="157" t="inlineStr">
        <is>
          <t>R</t>
        </is>
      </c>
      <c r="F91" s="157" t="inlineStr">
        <is>
          <t>R</t>
        </is>
      </c>
      <c r="G91" s="157" t="inlineStr">
        <is>
          <t>R</t>
        </is>
      </c>
      <c r="H91" s="157" t="inlineStr">
        <is>
          <t>R</t>
        </is>
      </c>
      <c r="I91" s="158" t="inlineStr"/>
      <c r="J91" s="158" t="inlineStr"/>
      <c r="K91" s="158" t="inlineStr"/>
      <c r="L91" s="158" t="inlineStr"/>
      <c r="M91" s="158" t="inlineStr"/>
    </row>
    <row r="92" ht="22" customHeight="1" s="107">
      <c r="A92" s="159" t="inlineStr">
        <is>
          <t>D5</t>
        </is>
      </c>
      <c r="B92" s="160" t="inlineStr">
        <is>
          <t>12:00</t>
        </is>
      </c>
      <c r="C92" s="157" t="inlineStr">
        <is>
          <t>R</t>
        </is>
      </c>
      <c r="D92" s="157" t="inlineStr">
        <is>
          <t>R</t>
        </is>
      </c>
      <c r="E92" s="157" t="inlineStr">
        <is>
          <t>R</t>
        </is>
      </c>
      <c r="F92" s="157" t="inlineStr">
        <is>
          <t>R</t>
        </is>
      </c>
      <c r="G92" s="157" t="inlineStr">
        <is>
          <t>R</t>
        </is>
      </c>
      <c r="H92" s="161" t="inlineStr">
        <is>
          <t>Farewell Lunch</t>
        </is>
      </c>
      <c r="I92" s="158" t="inlineStr"/>
      <c r="J92" s="158" t="inlineStr"/>
      <c r="K92" s="158" t="inlineStr"/>
      <c r="L92" s="158" t="inlineStr"/>
      <c r="M92" s="158" t="inlineStr"/>
    </row>
    <row r="93" ht="22" customHeight="1" s="107">
      <c r="A93" s="155" t="inlineStr">
        <is>
          <t>D5</t>
        </is>
      </c>
      <c r="B93" s="156" t="inlineStr">
        <is>
          <t>12:30</t>
        </is>
      </c>
      <c r="C93" s="157" t="inlineStr">
        <is>
          <t>R</t>
        </is>
      </c>
      <c r="D93" s="157" t="inlineStr">
        <is>
          <t>R</t>
        </is>
      </c>
      <c r="E93" s="157" t="inlineStr">
        <is>
          <t>R</t>
        </is>
      </c>
      <c r="F93" s="157" t="inlineStr">
        <is>
          <t>R</t>
        </is>
      </c>
      <c r="G93" s="157" t="inlineStr">
        <is>
          <t>R</t>
        </is>
      </c>
      <c r="H93" s="162" t="inlineStr">
        <is>
          <t>↓ Farewell Lunch</t>
        </is>
      </c>
      <c r="I93" s="158" t="inlineStr"/>
      <c r="J93" s="158" t="inlineStr"/>
      <c r="K93" s="158" t="inlineStr"/>
      <c r="L93" s="158" t="inlineStr"/>
      <c r="M93" s="158" t="inlineStr"/>
    </row>
    <row r="94" ht="22" customHeight="1" s="107">
      <c r="A94" s="159" t="inlineStr">
        <is>
          <t>D5</t>
        </is>
      </c>
      <c r="B94" s="160" t="inlineStr">
        <is>
          <t>13:00</t>
        </is>
      </c>
      <c r="C94" s="161" t="inlineStr">
        <is>
          <t>Closing Keynote &amp; Awards
Dr. Sarah Chen</t>
        </is>
      </c>
      <c r="D94" s="157" t="inlineStr">
        <is>
          <t>R</t>
        </is>
      </c>
      <c r="E94" s="157" t="inlineStr">
        <is>
          <t>R</t>
        </is>
      </c>
      <c r="F94" s="157" t="inlineStr">
        <is>
          <t>R</t>
        </is>
      </c>
      <c r="G94" s="157" t="inlineStr">
        <is>
          <t>R</t>
        </is>
      </c>
      <c r="H94" s="157" t="inlineStr">
        <is>
          <t>R</t>
        </is>
      </c>
      <c r="I94" s="158" t="inlineStr"/>
      <c r="J94" s="158" t="inlineStr"/>
      <c r="K94" s="158" t="inlineStr"/>
      <c r="L94" s="158" t="inlineStr"/>
      <c r="M94" s="158" t="inlineStr"/>
    </row>
    <row r="95" ht="22" customHeight="1" s="107">
      <c r="A95" s="155" t="inlineStr">
        <is>
          <t>D5</t>
        </is>
      </c>
      <c r="B95" s="156" t="inlineStr">
        <is>
          <t>13:30</t>
        </is>
      </c>
      <c r="C95" s="162" t="inlineStr">
        <is>
          <t>↓ Closing Keynote &amp; Awards</t>
        </is>
      </c>
      <c r="D95" s="157" t="inlineStr">
        <is>
          <t>R</t>
        </is>
      </c>
      <c r="E95" s="157" t="inlineStr">
        <is>
          <t>R</t>
        </is>
      </c>
      <c r="F95" s="157" t="inlineStr">
        <is>
          <t>R</t>
        </is>
      </c>
      <c r="G95" s="157" t="inlineStr">
        <is>
          <t>R</t>
        </is>
      </c>
      <c r="H95" s="157" t="inlineStr">
        <is>
          <t>R</t>
        </is>
      </c>
      <c r="I95" s="158" t="inlineStr"/>
      <c r="J95" s="158" t="inlineStr"/>
      <c r="K95" s="158" t="inlineStr"/>
      <c r="L95" s="158" t="inlineStr"/>
      <c r="M95" s="158" t="inlineStr"/>
    </row>
    <row r="96" ht="22" customHeight="1" s="107">
      <c r="A96" s="159" t="inlineStr">
        <is>
          <t>D5</t>
        </is>
      </c>
      <c r="B96" s="160" t="inlineStr">
        <is>
          <t>14:00</t>
        </is>
      </c>
      <c r="C96" s="157" t="inlineStr">
        <is>
          <t>R</t>
        </is>
      </c>
      <c r="D96" s="157" t="inlineStr">
        <is>
          <t>R</t>
        </is>
      </c>
      <c r="E96" s="157" t="inlineStr">
        <is>
          <t>R</t>
        </is>
      </c>
      <c r="F96" s="157" t="inlineStr">
        <is>
          <t>R</t>
        </is>
      </c>
      <c r="G96" s="157" t="inlineStr">
        <is>
          <t>R</t>
        </is>
      </c>
      <c r="H96" s="157" t="inlineStr">
        <is>
          <t>R</t>
        </is>
      </c>
      <c r="I96" s="158" t="inlineStr"/>
      <c r="J96" s="158" t="inlineStr"/>
      <c r="K96" s="158" t="inlineStr"/>
      <c r="L96" s="158" t="inlineStr"/>
      <c r="M96" s="158" t="inlineStr"/>
    </row>
    <row r="97" ht="22" customHeight="1" s="107">
      <c r="A97" s="155" t="inlineStr">
        <is>
          <t>D5</t>
        </is>
      </c>
      <c r="B97" s="156" t="inlineStr">
        <is>
          <t>14:30</t>
        </is>
      </c>
      <c r="C97" s="157" t="inlineStr">
        <is>
          <t>R</t>
        </is>
      </c>
      <c r="D97" s="157" t="inlineStr">
        <is>
          <t>R</t>
        </is>
      </c>
      <c r="E97" s="157" t="inlineStr">
        <is>
          <t>R</t>
        </is>
      </c>
      <c r="F97" s="157" t="inlineStr">
        <is>
          <t>R</t>
        </is>
      </c>
      <c r="G97" s="157" t="inlineStr">
        <is>
          <t>R</t>
        </is>
      </c>
      <c r="H97" s="157" t="inlineStr">
        <is>
          <t>R</t>
        </is>
      </c>
      <c r="I97" s="158" t="inlineStr"/>
      <c r="J97" s="158" t="inlineStr"/>
      <c r="K97" s="158" t="inlineStr"/>
      <c r="L97" s="158" t="inlineStr"/>
      <c r="M97" s="158" t="inlineStr"/>
    </row>
    <row r="98" ht="22" customHeight="1" s="107">
      <c r="A98" s="159" t="inlineStr">
        <is>
          <t>D5</t>
        </is>
      </c>
      <c r="B98" s="160" t="inlineStr">
        <is>
          <t>15:00</t>
        </is>
      </c>
      <c r="C98" s="157" t="inlineStr">
        <is>
          <t>R</t>
        </is>
      </c>
      <c r="D98" s="157" t="inlineStr">
        <is>
          <t>R</t>
        </is>
      </c>
      <c r="E98" s="157" t="inlineStr">
        <is>
          <t>R</t>
        </is>
      </c>
      <c r="F98" s="157" t="inlineStr">
        <is>
          <t>R</t>
        </is>
      </c>
      <c r="G98" s="157" t="inlineStr">
        <is>
          <t>R</t>
        </is>
      </c>
      <c r="H98" s="157" t="inlineStr">
        <is>
          <t>R</t>
        </is>
      </c>
      <c r="I98" s="158" t="inlineStr"/>
      <c r="J98" s="158" t="inlineStr"/>
      <c r="K98" s="158" t="inlineStr"/>
      <c r="L98" s="158" t="inlineStr"/>
      <c r="M98" s="158" t="inlineStr"/>
    </row>
    <row r="99" ht="22" customHeight="1" s="107">
      <c r="A99" s="155" t="inlineStr">
        <is>
          <t>D5</t>
        </is>
      </c>
      <c r="B99" s="156" t="inlineStr">
        <is>
          <t>15:30</t>
        </is>
      </c>
      <c r="C99" s="157" t="inlineStr">
        <is>
          <t>R</t>
        </is>
      </c>
      <c r="D99" s="157" t="inlineStr">
        <is>
          <t>R</t>
        </is>
      </c>
      <c r="E99" s="157" t="inlineStr">
        <is>
          <t>R</t>
        </is>
      </c>
      <c r="F99" s="157" t="inlineStr">
        <is>
          <t>R</t>
        </is>
      </c>
      <c r="G99" s="157" t="inlineStr">
        <is>
          <t>R</t>
        </is>
      </c>
      <c r="H99" s="157" t="inlineStr">
        <is>
          <t>R</t>
        </is>
      </c>
      <c r="I99" s="158" t="inlineStr"/>
      <c r="J99" s="158" t="inlineStr"/>
      <c r="K99" s="158" t="inlineStr"/>
      <c r="L99" s="158" t="inlineStr"/>
      <c r="M99" s="158" t="inlineStr"/>
    </row>
    <row r="100" ht="22" customHeight="1" s="107">
      <c r="A100" s="159" t="inlineStr">
        <is>
          <t>D5</t>
        </is>
      </c>
      <c r="B100" s="160" t="inlineStr">
        <is>
          <t>16:00</t>
        </is>
      </c>
      <c r="C100" s="157" t="inlineStr">
        <is>
          <t>R</t>
        </is>
      </c>
      <c r="D100" s="157" t="inlineStr">
        <is>
          <t>R</t>
        </is>
      </c>
      <c r="E100" s="157" t="inlineStr">
        <is>
          <t>R</t>
        </is>
      </c>
      <c r="F100" s="157" t="inlineStr">
        <is>
          <t>R</t>
        </is>
      </c>
      <c r="G100" s="157" t="inlineStr">
        <is>
          <t>R</t>
        </is>
      </c>
      <c r="H100" s="157" t="inlineStr">
        <is>
          <t>R</t>
        </is>
      </c>
      <c r="I100" s="158" t="inlineStr"/>
      <c r="J100" s="158" t="inlineStr"/>
      <c r="K100" s="158" t="inlineStr"/>
      <c r="L100" s="158" t="inlineStr"/>
      <c r="M100" s="158" t="inlineStr"/>
    </row>
    <row r="101" ht="22" customHeight="1" s="107">
      <c r="A101" s="155" t="inlineStr">
        <is>
          <t>D5</t>
        </is>
      </c>
      <c r="B101" s="156" t="inlineStr">
        <is>
          <t>16:30</t>
        </is>
      </c>
      <c r="C101" s="157" t="inlineStr">
        <is>
          <t>R</t>
        </is>
      </c>
      <c r="D101" s="157" t="inlineStr">
        <is>
          <t>R</t>
        </is>
      </c>
      <c r="E101" s="157" t="inlineStr">
        <is>
          <t>R</t>
        </is>
      </c>
      <c r="F101" s="157" t="inlineStr">
        <is>
          <t>R</t>
        </is>
      </c>
      <c r="G101" s="157" t="inlineStr">
        <is>
          <t>R</t>
        </is>
      </c>
      <c r="H101" s="157" t="inlineStr">
        <is>
          <t>R</t>
        </is>
      </c>
      <c r="I101" s="158" t="inlineStr"/>
      <c r="J101" s="158" t="inlineStr"/>
      <c r="K101" s="158" t="inlineStr"/>
      <c r="L101" s="158" t="inlineStr"/>
      <c r="M101" s="158" t="inlineStr"/>
    </row>
    <row r="102" ht="22" customHeight="1" s="107">
      <c r="A102" s="159" t="inlineStr">
        <is>
          <t>D5</t>
        </is>
      </c>
      <c r="B102" s="160" t="inlineStr">
        <is>
          <t>17:00</t>
        </is>
      </c>
      <c r="C102" s="157" t="inlineStr">
        <is>
          <t>R</t>
        </is>
      </c>
      <c r="D102" s="157" t="inlineStr">
        <is>
          <t>R</t>
        </is>
      </c>
      <c r="E102" s="157" t="inlineStr">
        <is>
          <t>R</t>
        </is>
      </c>
      <c r="F102" s="157" t="inlineStr">
        <is>
          <t>R</t>
        </is>
      </c>
      <c r="G102" s="157" t="inlineStr">
        <is>
          <t>R</t>
        </is>
      </c>
      <c r="H102" s="157" t="inlineStr">
        <is>
          <t>R</t>
        </is>
      </c>
      <c r="I102" s="158" t="inlineStr"/>
      <c r="J102" s="158" t="inlineStr"/>
      <c r="K102" s="158" t="inlineStr"/>
      <c r="L102" s="158" t="inlineStr"/>
      <c r="M102" s="158" t="inlineStr"/>
    </row>
    <row r="103" ht="22" customHeight="1" s="107">
      <c r="A103" s="155" t="inlineStr">
        <is>
          <t>D5</t>
        </is>
      </c>
      <c r="B103" s="156" t="inlineStr">
        <is>
          <t>17:30</t>
        </is>
      </c>
      <c r="C103" s="157" t="inlineStr">
        <is>
          <t>R</t>
        </is>
      </c>
      <c r="D103" s="157" t="inlineStr">
        <is>
          <t>R</t>
        </is>
      </c>
      <c r="E103" s="157" t="inlineStr">
        <is>
          <t>R</t>
        </is>
      </c>
      <c r="F103" s="157" t="inlineStr">
        <is>
          <t>R</t>
        </is>
      </c>
      <c r="G103" s="157" t="inlineStr">
        <is>
          <t>R</t>
        </is>
      </c>
      <c r="H103" s="157" t="inlineStr">
        <is>
          <t>R</t>
        </is>
      </c>
      <c r="I103" s="158" t="inlineStr"/>
      <c r="J103" s="158" t="inlineStr"/>
      <c r="K103" s="158" t="inlineStr"/>
      <c r="L103" s="158" t="inlineStr"/>
      <c r="M103" s="158" t="inlineStr"/>
    </row>
    <row r="105">
      <c r="A105" s="163" t="inlineStr">
        <is>
          <t>SUMMARY</t>
        </is>
      </c>
    </row>
    <row r="106">
      <c r="A106" s="165" t="inlineStr">
        <is>
          <t>Booked</t>
        </is>
      </c>
      <c r="B106" s="166" t="n"/>
      <c r="C106" s="167">
        <f>COUNTIF(C4:C103,"*")-COUNTIF(C4:C103,"R")-COUNTBLANK(C4:C103)</f>
        <v/>
      </c>
      <c r="D106" s="167">
        <f>COUNTIF(D4:D103,"*")-COUNTIF(D4:D103,"R")-COUNTBLANK(D4:D103)</f>
        <v/>
      </c>
      <c r="E106" s="167">
        <f>COUNTIF(E4:E103,"*")-COUNTIF(E4:E103,"R")-COUNTBLANK(E4:E103)</f>
        <v/>
      </c>
      <c r="F106" s="167">
        <f>COUNTIF(F4:F103,"*")-COUNTIF(F4:F103,"R")-COUNTBLANK(F4:F103)</f>
        <v/>
      </c>
      <c r="G106" s="167">
        <f>COUNTIF(G4:G103,"*")-COUNTIF(G4:G103,"R")-COUNTBLANK(G4:G103)</f>
        <v/>
      </c>
      <c r="H106" s="167">
        <f>COUNTIF(H4:H103,"*")-COUNTIF(H4:H103,"R")-COUNTBLANK(H4:H103)</f>
        <v/>
      </c>
      <c r="I106" s="167">
        <f>COUNTIF(I4:I103,"*")-COUNTIF(I4:I103,"R")-COUNTBLANK(I4:I103)</f>
        <v/>
      </c>
      <c r="J106" s="167">
        <f>COUNTIF(J4:J103,"*")-COUNTIF(J4:J103,"R")-COUNTBLANK(J4:J103)</f>
        <v/>
      </c>
      <c r="K106" s="167">
        <f>COUNTIF(K4:K103,"*")-COUNTIF(K4:K103,"R")-COUNTBLANK(K4:K103)</f>
        <v/>
      </c>
      <c r="L106" s="167">
        <f>COUNTIF(L4:L103,"*")-COUNTIF(L4:L103,"R")-COUNTBLANK(L4:L103)</f>
        <v/>
      </c>
      <c r="M106" s="167">
        <f>COUNTIF(M4:M103,"*")-COUNTIF(M4:M103,"R")-COUNTBLANK(M4:M103)</f>
        <v/>
      </c>
    </row>
    <row r="107">
      <c r="A107" s="168" t="inlineStr">
        <is>
          <t>Reserved (Free)</t>
        </is>
      </c>
      <c r="B107" s="169" t="n"/>
      <c r="C107" s="170">
        <f>COUNTIF(C4:C103,"R")</f>
        <v/>
      </c>
      <c r="D107" s="170">
        <f>COUNTIF(D4:D103,"R")</f>
        <v/>
      </c>
      <c r="E107" s="170">
        <f>COUNTIF(E4:E103,"R")</f>
        <v/>
      </c>
      <c r="F107" s="170">
        <f>COUNTIF(F4:F103,"R")</f>
        <v/>
      </c>
      <c r="G107" s="170">
        <f>COUNTIF(G4:G103,"R")</f>
        <v/>
      </c>
      <c r="H107" s="170">
        <f>COUNTIF(H4:H103,"R")</f>
        <v/>
      </c>
      <c r="I107" s="170">
        <f>COUNTIF(I4:I103,"R")</f>
        <v/>
      </c>
      <c r="J107" s="170">
        <f>COUNTIF(J4:J103,"R")</f>
        <v/>
      </c>
      <c r="K107" s="170">
        <f>COUNTIF(K4:K103,"R")</f>
        <v/>
      </c>
      <c r="L107" s="170">
        <f>COUNTIF(L4:L103,"R")</f>
        <v/>
      </c>
      <c r="M107" s="170">
        <f>COUNTIF(M4:M103,"R")</f>
        <v/>
      </c>
    </row>
    <row r="108">
      <c r="A108" s="171" t="inlineStr">
        <is>
          <t>Not Reserved</t>
        </is>
      </c>
      <c r="B108" s="172" t="n"/>
      <c r="C108" s="173">
        <f>COUNTBLANK(C4:C103)</f>
        <v/>
      </c>
      <c r="D108" s="173">
        <f>COUNTBLANK(D4:D103)</f>
        <v/>
      </c>
      <c r="E108" s="173">
        <f>COUNTBLANK(E4:E103)</f>
        <v/>
      </c>
      <c r="F108" s="173">
        <f>COUNTBLANK(F4:F103)</f>
        <v/>
      </c>
      <c r="G108" s="173">
        <f>COUNTBLANK(G4:G103)</f>
        <v/>
      </c>
      <c r="H108" s="173">
        <f>COUNTBLANK(H4:H103)</f>
        <v/>
      </c>
      <c r="I108" s="173">
        <f>COUNTBLANK(I4:I103)</f>
        <v/>
      </c>
      <c r="J108" s="173">
        <f>COUNTBLANK(J4:J103)</f>
        <v/>
      </c>
      <c r="K108" s="173">
        <f>COUNTBLANK(K4:K103)</f>
        <v/>
      </c>
      <c r="L108" s="173">
        <f>COUNTBLANK(L4:L103)</f>
        <v/>
      </c>
      <c r="M108" s="173">
        <f>COUNTBLANK(M4:M103)</f>
        <v/>
      </c>
    </row>
    <row r="110">
      <c r="A110" s="174" t="inlineStr">
        <is>
          <t>LEGEND:  R = Reserved (available)  |  Session Title = Booked  |  Blank/Gray = Not reserved  |  Red = Conflict (session in unreserved slot)</t>
        </is>
      </c>
    </row>
    <row r="111" ht="30" customHeight="1" s="107">
      <c r="A111" s="174" t="inlineStr">
        <is>
          <t>TO ADD A ROOM: Insert column, type room name in row 2, capacity in row 3. Mark 'R' for reserved slots. Run RefreshRoomManagement macro to update bookings from SessionDB.</t>
        </is>
      </c>
    </row>
    <row r="112" ht="30" customHeight="1" s="107">
      <c r="A112" s="174" t="inlineStr">
        <is>
          <t>TO RESERVE A BACKUP ROOM: Find the room column, go to the Day/Time row, type 'R'. The macro will keep 'R' cells that have no session and replace 'R' with session titles where bookings exist.</t>
        </is>
      </c>
    </row>
  </sheetData>
  <mergeCells count="5">
    <mergeCell ref="A112:M112"/>
    <mergeCell ref="A1:M1"/>
    <mergeCell ref="A110:M110"/>
    <mergeCell ref="A111:M111"/>
    <mergeCell ref="A105:M105"/>
  </mergeCells>
  <pageMargins left="0.75" right="0.75" top="1" bottom="1" header="0.5" footer="0.5"/>
</worksheet>
</file>

<file path=xl/worksheets/sheet5.xml><?xml version="1.0" encoding="utf-8"?>
<worksheet xmlns="http://schemas.openxmlformats.org/spreadsheetml/2006/main">
  <sheetPr filterMode="0">
    <tabColor rgb="FF1B3A5F"/>
    <outlinePr summaryBelow="1" summaryRight="1"/>
    <pageSetUpPr fitToPage="1"/>
  </sheetPr>
  <dimension ref="A1:AW2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06" min="1" max="1"/>
    <col width="16" customWidth="1" style="106" min="2" max="2"/>
    <col width="12" customWidth="1" style="106" min="3" max="3"/>
    <col width="16" customWidth="1" style="106" min="4" max="4"/>
    <col width="12" customWidth="1" style="106" min="5" max="5"/>
    <col width="16" customWidth="1" style="106" min="6" max="6"/>
    <col width="12" customWidth="1" style="106" min="7" max="7"/>
    <col width="16" customWidth="1" style="106" min="8" max="8"/>
    <col width="12" customWidth="1" style="106" min="9" max="9"/>
    <col width="1.51" customWidth="1" style="106" min="10" max="10"/>
    <col width="6" customWidth="1" style="106" min="11" max="11"/>
    <col width="16" customWidth="1" style="106" min="12" max="12"/>
    <col width="12" customWidth="1" style="106" min="13" max="13"/>
    <col width="16" customWidth="1" style="106" min="14" max="14"/>
    <col width="12" customWidth="1" style="106" min="15" max="15"/>
    <col width="16" customWidth="1" style="106" min="16" max="16"/>
    <col width="12" customWidth="1" style="106" min="17" max="17"/>
    <col width="16" customWidth="1" style="106" min="18" max="18"/>
    <col width="12" customWidth="1" style="106" min="19" max="19"/>
    <col width="1.51" customWidth="1" style="106" min="20" max="20"/>
    <col width="6" customWidth="1" style="106" min="21" max="21"/>
    <col width="16" customWidth="1" style="106" min="22" max="22"/>
    <col width="12" customWidth="1" style="106" min="23" max="23"/>
    <col width="16" customWidth="1" style="106" min="24" max="24"/>
    <col width="12" customWidth="1" style="106" min="25" max="25"/>
    <col width="16" customWidth="1" style="106" min="26" max="26"/>
    <col width="12" customWidth="1" style="106" min="27" max="27"/>
    <col width="16" customWidth="1" style="106" min="28" max="28"/>
    <col width="12" customWidth="1" style="106" min="29" max="29"/>
    <col width="1.51" customWidth="1" style="106" min="30" max="30"/>
    <col width="6" customWidth="1" style="106" min="31" max="31"/>
    <col width="16" customWidth="1" style="106" min="32" max="32"/>
    <col width="12" customWidth="1" style="106" min="33" max="33"/>
    <col width="16" customWidth="1" style="106" min="34" max="34"/>
    <col width="12" customWidth="1" style="106" min="35" max="35"/>
    <col width="16" customWidth="1" style="106" min="36" max="36"/>
    <col width="12" customWidth="1" style="106" min="37" max="37"/>
    <col width="16" customWidth="1" style="106" min="38" max="38"/>
    <col width="12" customWidth="1" style="106" min="39" max="39"/>
    <col width="1.51" customWidth="1" style="106" min="40" max="40"/>
    <col width="6" customWidth="1" style="106" min="41" max="41"/>
    <col width="16" customWidth="1" style="106" min="42" max="42"/>
    <col width="12" customWidth="1" style="106" min="43" max="43"/>
    <col width="16" customWidth="1" style="106" min="44" max="44"/>
    <col width="12" customWidth="1" style="106" min="45" max="45"/>
    <col width="16" customWidth="1" style="106" min="46" max="46"/>
    <col width="12" customWidth="1" style="106" min="47" max="47"/>
    <col width="16" customWidth="1" style="106" min="48" max="48"/>
    <col width="12" customWidth="1" style="106" min="49" max="49"/>
  </cols>
  <sheetData>
    <row r="1" ht="36" customHeight="1" s="107">
      <c r="A1" s="175" t="inlineStr">
        <is>
          <t>WORKSHOP PROGRAM 2026 (AGENDA | TIMETABLE)</t>
        </is>
      </c>
    </row>
    <row r="2" ht="27.75" customHeight="1" s="107">
      <c r="A2" s="176" t="inlineStr">
        <is>
          <t>23 Mar (Mon)</t>
        </is>
      </c>
      <c r="B2" s="177" t="n"/>
      <c r="C2" s="177" t="n"/>
      <c r="D2" s="177" t="n"/>
      <c r="E2" s="177" t="n"/>
      <c r="F2" s="177" t="n"/>
      <c r="G2" s="177" t="n"/>
      <c r="H2" s="177" t="n"/>
      <c r="I2" s="178" t="n"/>
      <c r="J2" s="179" t="n"/>
      <c r="K2" s="180" t="inlineStr">
        <is>
          <t>24 Mar (Tue)</t>
        </is>
      </c>
      <c r="L2" s="177" t="n"/>
      <c r="M2" s="177" t="n"/>
      <c r="N2" s="177" t="n"/>
      <c r="O2" s="177" t="n"/>
      <c r="P2" s="177" t="n"/>
      <c r="Q2" s="177" t="n"/>
      <c r="R2" s="177" t="n"/>
      <c r="S2" s="178" t="n"/>
      <c r="T2" s="179" t="n"/>
      <c r="U2" s="176" t="inlineStr">
        <is>
          <t>25 Mar (Wed)</t>
        </is>
      </c>
      <c r="V2" s="177" t="n"/>
      <c r="W2" s="177" t="n"/>
      <c r="X2" s="177" t="n"/>
      <c r="Y2" s="177" t="n"/>
      <c r="Z2" s="177" t="n"/>
      <c r="AA2" s="177" t="n"/>
      <c r="AB2" s="177" t="n"/>
      <c r="AC2" s="178" t="n"/>
      <c r="AD2" s="179" t="n"/>
      <c r="AE2" s="180" t="inlineStr">
        <is>
          <t>26 Mar (Thu)</t>
        </is>
      </c>
      <c r="AF2" s="177" t="n"/>
      <c r="AG2" s="177" t="n"/>
      <c r="AH2" s="177" t="n"/>
      <c r="AI2" s="177" t="n"/>
      <c r="AJ2" s="177" t="n"/>
      <c r="AK2" s="177" t="n"/>
      <c r="AL2" s="177" t="n"/>
      <c r="AM2" s="178" t="n"/>
      <c r="AN2" s="179" t="n"/>
      <c r="AO2" s="176" t="inlineStr">
        <is>
          <t>27 Mar (Fri)</t>
        </is>
      </c>
      <c r="AP2" s="177" t="n"/>
      <c r="AQ2" s="177" t="n"/>
      <c r="AR2" s="177" t="n"/>
      <c r="AS2" s="177" t="n"/>
      <c r="AT2" s="177" t="n"/>
      <c r="AU2" s="177" t="n"/>
      <c r="AV2" s="177" t="n"/>
      <c r="AW2" s="178" t="n"/>
    </row>
    <row r="3" ht="19.5" customHeight="1" s="107">
      <c r="A3" s="181" t="inlineStr">
        <is>
          <t>Time</t>
        </is>
      </c>
      <c r="B3" s="182" t="inlineStr">
        <is>
          <t>Agenda</t>
        </is>
      </c>
      <c r="C3" s="182" t="inlineStr">
        <is>
          <t>Lead</t>
        </is>
      </c>
      <c r="D3" s="183" t="inlineStr">
        <is>
          <t>Agenda</t>
        </is>
      </c>
      <c r="E3" s="183" t="inlineStr">
        <is>
          <t>Lead</t>
        </is>
      </c>
      <c r="F3" s="184" t="inlineStr">
        <is>
          <t>Agenda</t>
        </is>
      </c>
      <c r="G3" s="184" t="inlineStr">
        <is>
          <t>Lead</t>
        </is>
      </c>
      <c r="H3" s="185" t="inlineStr">
        <is>
          <t>Agenda</t>
        </is>
      </c>
      <c r="I3" s="185" t="inlineStr">
        <is>
          <t>Lead</t>
        </is>
      </c>
      <c r="J3" s="179" t="n"/>
      <c r="K3" s="181" t="inlineStr">
        <is>
          <t>Time</t>
        </is>
      </c>
      <c r="L3" s="182" t="inlineStr">
        <is>
          <t>Agenda</t>
        </is>
      </c>
      <c r="M3" s="182" t="inlineStr">
        <is>
          <t>Lead</t>
        </is>
      </c>
      <c r="N3" s="183" t="inlineStr">
        <is>
          <t>Agenda</t>
        </is>
      </c>
      <c r="O3" s="183" t="inlineStr">
        <is>
          <t>Lead</t>
        </is>
      </c>
      <c r="P3" s="184" t="inlineStr">
        <is>
          <t>Agenda</t>
        </is>
      </c>
      <c r="Q3" s="184" t="inlineStr">
        <is>
          <t>Lead</t>
        </is>
      </c>
      <c r="R3" s="185" t="inlineStr">
        <is>
          <t>Agenda</t>
        </is>
      </c>
      <c r="S3" s="185" t="inlineStr">
        <is>
          <t>Lead</t>
        </is>
      </c>
      <c r="T3" s="179" t="n"/>
      <c r="U3" s="181" t="inlineStr">
        <is>
          <t>Time</t>
        </is>
      </c>
      <c r="V3" s="182" t="inlineStr">
        <is>
          <t>Agenda</t>
        </is>
      </c>
      <c r="W3" s="182" t="inlineStr">
        <is>
          <t>Lead</t>
        </is>
      </c>
      <c r="X3" s="183" t="inlineStr">
        <is>
          <t>Agenda</t>
        </is>
      </c>
      <c r="Y3" s="183" t="inlineStr">
        <is>
          <t>Lead</t>
        </is>
      </c>
      <c r="Z3" s="184" t="inlineStr">
        <is>
          <t>Agenda</t>
        </is>
      </c>
      <c r="AA3" s="184" t="inlineStr">
        <is>
          <t>Lead</t>
        </is>
      </c>
      <c r="AB3" s="185" t="inlineStr">
        <is>
          <t>Agenda</t>
        </is>
      </c>
      <c r="AC3" s="185" t="inlineStr">
        <is>
          <t>Lead</t>
        </is>
      </c>
      <c r="AD3" s="179" t="n"/>
      <c r="AE3" s="181" t="inlineStr">
        <is>
          <t>Time</t>
        </is>
      </c>
      <c r="AF3" s="182" t="inlineStr">
        <is>
          <t>Agenda</t>
        </is>
      </c>
      <c r="AG3" s="182" t="inlineStr">
        <is>
          <t>Lead</t>
        </is>
      </c>
      <c r="AH3" s="183" t="inlineStr">
        <is>
          <t>Agenda</t>
        </is>
      </c>
      <c r="AI3" s="183" t="inlineStr">
        <is>
          <t>Lead</t>
        </is>
      </c>
      <c r="AJ3" s="184" t="inlineStr">
        <is>
          <t>Agenda</t>
        </is>
      </c>
      <c r="AK3" s="184" t="inlineStr">
        <is>
          <t>Lead</t>
        </is>
      </c>
      <c r="AL3" s="185" t="inlineStr">
        <is>
          <t>Agenda</t>
        </is>
      </c>
      <c r="AM3" s="185" t="inlineStr">
        <is>
          <t>Lead</t>
        </is>
      </c>
      <c r="AN3" s="179" t="n"/>
      <c r="AO3" s="181" t="inlineStr">
        <is>
          <t>Time</t>
        </is>
      </c>
      <c r="AP3" s="182" t="inlineStr">
        <is>
          <t>Agenda</t>
        </is>
      </c>
      <c r="AQ3" s="182" t="inlineStr">
        <is>
          <t>Lead</t>
        </is>
      </c>
      <c r="AR3" s="183" t="inlineStr">
        <is>
          <t>Agenda</t>
        </is>
      </c>
      <c r="AS3" s="183" t="inlineStr">
        <is>
          <t>Lead</t>
        </is>
      </c>
      <c r="AT3" s="184" t="inlineStr">
        <is>
          <t>Agenda</t>
        </is>
      </c>
      <c r="AU3" s="184" t="inlineStr">
        <is>
          <t>Lead</t>
        </is>
      </c>
      <c r="AV3" s="185" t="inlineStr">
        <is>
          <t>Agenda</t>
        </is>
      </c>
      <c r="AW3" s="185" t="inlineStr">
        <is>
          <t>Lead</t>
        </is>
      </c>
    </row>
    <row r="4" ht="21.75" customHeight="1" s="107">
      <c r="A4" s="186" t="inlineStr">
        <is>
          <t>08:00</t>
        </is>
      </c>
      <c r="B4" s="187" t="n"/>
      <c r="C4" s="187" t="n"/>
      <c r="D4" s="187" t="n"/>
      <c r="E4" s="187" t="n"/>
      <c r="F4" s="187" t="n"/>
      <c r="G4" s="187" t="n"/>
      <c r="H4" s="187" t="n"/>
      <c r="I4" s="187" t="n"/>
      <c r="J4" s="179" t="n"/>
      <c r="K4" s="186" t="inlineStr">
        <is>
          <t>08:00</t>
        </is>
      </c>
      <c r="L4" s="187" t="n"/>
      <c r="M4" s="187" t="n"/>
      <c r="N4" s="187" t="n"/>
      <c r="O4" s="187" t="n"/>
      <c r="P4" s="187" t="n"/>
      <c r="Q4" s="187" t="n"/>
      <c r="R4" s="187" t="n"/>
      <c r="S4" s="187" t="n"/>
      <c r="T4" s="179" t="n"/>
      <c r="U4" s="186" t="inlineStr">
        <is>
          <t>08:00</t>
        </is>
      </c>
      <c r="V4" s="187" t="n"/>
      <c r="W4" s="187" t="n"/>
      <c r="X4" s="187" t="n"/>
      <c r="Y4" s="187" t="n"/>
      <c r="Z4" s="187" t="n"/>
      <c r="AA4" s="187" t="n"/>
      <c r="AB4" s="187" t="n"/>
      <c r="AC4" s="187" t="n"/>
      <c r="AD4" s="179" t="n"/>
      <c r="AE4" s="186" t="inlineStr">
        <is>
          <t>08:00</t>
        </is>
      </c>
      <c r="AF4" s="187" t="n"/>
      <c r="AG4" s="187" t="n"/>
      <c r="AH4" s="187" t="n"/>
      <c r="AI4" s="187" t="n"/>
      <c r="AJ4" s="187" t="n"/>
      <c r="AK4" s="187" t="n"/>
      <c r="AL4" s="187" t="n"/>
      <c r="AM4" s="187" t="n"/>
      <c r="AN4" s="179" t="n"/>
      <c r="AO4" s="186" t="inlineStr">
        <is>
          <t>08:00</t>
        </is>
      </c>
      <c r="AP4" s="187" t="n"/>
      <c r="AQ4" s="187" t="n"/>
      <c r="AR4" s="187" t="n"/>
      <c r="AS4" s="187" t="n"/>
      <c r="AT4" s="187" t="n"/>
      <c r="AU4" s="187" t="n"/>
      <c r="AV4" s="187" t="n"/>
      <c r="AW4" s="187" t="n"/>
    </row>
    <row r="5" ht="21.75" customHeight="1" s="107">
      <c r="A5" s="188" t="inlineStr">
        <is>
          <t>08:30</t>
        </is>
      </c>
      <c r="B5" s="187" t="n"/>
      <c r="C5" s="187" t="n"/>
      <c r="D5" s="187" t="n"/>
      <c r="E5" s="187" t="n"/>
      <c r="F5" s="187" t="n"/>
      <c r="G5" s="187" t="n"/>
      <c r="H5" s="187" t="n"/>
      <c r="I5" s="187" t="n"/>
      <c r="J5" s="179" t="n"/>
      <c r="K5" s="188" t="inlineStr">
        <is>
          <t>08:30</t>
        </is>
      </c>
      <c r="L5" s="187" t="n"/>
      <c r="M5" s="187" t="n"/>
      <c r="N5" s="187" t="n"/>
      <c r="O5" s="187" t="n"/>
      <c r="P5" s="187" t="n"/>
      <c r="Q5" s="187" t="n"/>
      <c r="R5" s="187" t="n"/>
      <c r="S5" s="187" t="n"/>
      <c r="T5" s="179" t="n"/>
      <c r="U5" s="188" t="inlineStr">
        <is>
          <t>08:30</t>
        </is>
      </c>
      <c r="V5" s="187" t="n"/>
      <c r="W5" s="187" t="n"/>
      <c r="X5" s="187" t="n"/>
      <c r="Y5" s="187" t="n"/>
      <c r="Z5" s="187" t="n"/>
      <c r="AA5" s="187" t="n"/>
      <c r="AB5" s="187" t="n"/>
      <c r="AC5" s="187" t="n"/>
      <c r="AD5" s="179" t="n"/>
      <c r="AE5" s="188" t="inlineStr">
        <is>
          <t>08:30</t>
        </is>
      </c>
      <c r="AF5" s="187" t="n"/>
      <c r="AG5" s="187" t="n"/>
      <c r="AH5" s="187" t="n"/>
      <c r="AI5" s="187" t="n"/>
      <c r="AJ5" s="187" t="n"/>
      <c r="AK5" s="187" t="n"/>
      <c r="AL5" s="187" t="n"/>
      <c r="AM5" s="187" t="n"/>
      <c r="AN5" s="179" t="n"/>
      <c r="AO5" s="188" t="inlineStr">
        <is>
          <t>08:30</t>
        </is>
      </c>
      <c r="AP5" s="187" t="n"/>
      <c r="AQ5" s="187" t="n"/>
      <c r="AR5" s="187" t="n"/>
      <c r="AS5" s="187" t="n"/>
      <c r="AT5" s="187" t="n"/>
      <c r="AU5" s="187" t="n"/>
      <c r="AV5" s="187" t="n"/>
      <c r="AW5" s="187" t="n"/>
    </row>
    <row r="6" ht="21.75" customHeight="1" s="107">
      <c r="A6" s="186" t="inlineStr">
        <is>
          <t>09:00</t>
        </is>
      </c>
      <c r="B6" s="189" t="inlineStr">
        <is>
          <t>Opening Keynote</t>
        </is>
      </c>
      <c r="C6" s="190" t="n"/>
      <c r="D6" s="190" t="n"/>
      <c r="E6" s="190" t="n"/>
      <c r="F6" s="190" t="n"/>
      <c r="G6" s="190" t="n"/>
      <c r="H6" s="190" t="n"/>
      <c r="I6" s="191" t="n"/>
      <c r="J6" s="179" t="n"/>
      <c r="K6" s="186" t="inlineStr">
        <is>
          <t>09:00</t>
        </is>
      </c>
      <c r="L6" s="192" t="inlineStr">
        <is>
          <t>Emotional Intelligence</t>
        </is>
      </c>
      <c r="M6" s="193" t="inlineStr">
        <is>
          <t>Aisha Johnson</t>
        </is>
      </c>
      <c r="N6" s="194" t="inlineStr">
        <is>
          <t>Security Fundamentals</t>
        </is>
      </c>
      <c r="O6" s="195" t="inlineStr">
        <is>
          <t>Alex Novak</t>
        </is>
      </c>
      <c r="P6" s="196" t="inlineStr">
        <is>
          <t>Design Systems</t>
        </is>
      </c>
      <c r="Q6" s="197" t="inlineStr">
        <is>
          <t>Yuki Tanaka</t>
        </is>
      </c>
      <c r="R6" s="198" t="inlineStr">
        <is>
          <t>Capacity Planning</t>
        </is>
      </c>
      <c r="S6" s="199" t="inlineStr">
        <is>
          <t>James Wright</t>
        </is>
      </c>
      <c r="T6" s="179" t="n"/>
      <c r="U6" s="186" t="inlineStr">
        <is>
          <t>09:00</t>
        </is>
      </c>
      <c r="V6" s="189" t="inlineStr">
        <is>
          <t>Midweek Keynote</t>
        </is>
      </c>
      <c r="W6" s="190" t="n"/>
      <c r="X6" s="190" t="n"/>
      <c r="Y6" s="190" t="n"/>
      <c r="Z6" s="190" t="n"/>
      <c r="AA6" s="190" t="n"/>
      <c r="AB6" s="190" t="n"/>
      <c r="AC6" s="191" t="n"/>
      <c r="AD6" s="179" t="n"/>
      <c r="AE6" s="186" t="inlineStr">
        <is>
          <t>09:00</t>
        </is>
      </c>
      <c r="AF6" s="192" t="inlineStr">
        <is>
          <t>Coaching Skills</t>
        </is>
      </c>
      <c r="AG6" s="193" t="inlineStr">
        <is>
          <t>Mark Torres</t>
        </is>
      </c>
      <c r="AH6" s="194" t="inlineStr">
        <is>
          <t>System Architecture</t>
        </is>
      </c>
      <c r="AI6" s="195" t="inlineStr">
        <is>
          <t>David Kim</t>
        </is>
      </c>
      <c r="AJ6" s="196" t="inlineStr">
        <is>
          <t>Data Visualization</t>
        </is>
      </c>
      <c r="AK6" s="197" t="inlineStr">
        <is>
          <t>Carlos Ruiz</t>
        </is>
      </c>
      <c r="AL6" s="198" t="inlineStr">
        <is>
          <t>Change Management</t>
        </is>
      </c>
      <c r="AM6" s="199" t="inlineStr">
        <is>
          <t>James Wright</t>
        </is>
      </c>
      <c r="AN6" s="179" t="n"/>
      <c r="AO6" s="186" t="inlineStr">
        <is>
          <t>09:00</t>
        </is>
      </c>
      <c r="AP6" s="192" t="inlineStr">
        <is>
          <t>Personal Action Plans</t>
        </is>
      </c>
      <c r="AQ6" s="193" t="inlineStr">
        <is>
          <t>Mark Torres</t>
        </is>
      </c>
      <c r="AR6" s="194" t="inlineStr">
        <is>
          <t>Tech Roadmapping</t>
        </is>
      </c>
      <c r="AS6" s="195" t="inlineStr">
        <is>
          <t>David Kim</t>
        </is>
      </c>
      <c r="AT6" s="196" t="inlineStr">
        <is>
          <t>Portfolio Building</t>
        </is>
      </c>
      <c r="AU6" s="197" t="inlineStr">
        <is>
          <t>Carlos Ruiz</t>
        </is>
      </c>
      <c r="AV6" s="198" t="inlineStr">
        <is>
          <t>Continuous Improvement</t>
        </is>
      </c>
      <c r="AW6" s="199" t="inlineStr">
        <is>
          <t>James Wright</t>
        </is>
      </c>
    </row>
    <row r="7" ht="21.75" customHeight="1" s="107">
      <c r="A7" s="188" t="inlineStr">
        <is>
          <t>09:30</t>
        </is>
      </c>
      <c r="B7" s="200" t="n"/>
      <c r="C7" s="201" t="n"/>
      <c r="D7" s="201" t="n"/>
      <c r="E7" s="201" t="n"/>
      <c r="F7" s="201" t="n"/>
      <c r="G7" s="201" t="n"/>
      <c r="H7" s="201" t="n"/>
      <c r="I7" s="202" t="n"/>
      <c r="J7" s="179" t="n"/>
      <c r="K7" s="188" t="inlineStr">
        <is>
          <t>09:30</t>
        </is>
      </c>
      <c r="L7" s="203" t="n"/>
      <c r="M7" s="204" t="n"/>
      <c r="N7" s="205" t="n"/>
      <c r="O7" s="206" t="n"/>
      <c r="P7" s="207" t="n"/>
      <c r="Q7" s="208" t="n"/>
      <c r="R7" s="209" t="n"/>
      <c r="S7" s="210" t="n"/>
      <c r="T7" s="179" t="n"/>
      <c r="U7" s="188" t="inlineStr">
        <is>
          <t>09:30</t>
        </is>
      </c>
      <c r="V7" s="200" t="n"/>
      <c r="W7" s="201" t="n"/>
      <c r="X7" s="201" t="n"/>
      <c r="Y7" s="201" t="n"/>
      <c r="Z7" s="201" t="n"/>
      <c r="AA7" s="201" t="n"/>
      <c r="AB7" s="201" t="n"/>
      <c r="AC7" s="202" t="n"/>
      <c r="AD7" s="179" t="n"/>
      <c r="AE7" s="188" t="inlineStr">
        <is>
          <t>09:30</t>
        </is>
      </c>
      <c r="AF7" s="203" t="n"/>
      <c r="AG7" s="204" t="n"/>
      <c r="AH7" s="205" t="n"/>
      <c r="AI7" s="206" t="n"/>
      <c r="AJ7" s="207" t="n"/>
      <c r="AK7" s="208" t="n"/>
      <c r="AL7" s="209" t="n"/>
      <c r="AM7" s="210" t="n"/>
      <c r="AN7" s="179" t="n"/>
      <c r="AO7" s="188" t="inlineStr">
        <is>
          <t>09:30</t>
        </is>
      </c>
      <c r="AP7" s="203" t="n"/>
      <c r="AQ7" s="204" t="n"/>
      <c r="AR7" s="205" t="n"/>
      <c r="AS7" s="206" t="n"/>
      <c r="AT7" s="207" t="n"/>
      <c r="AU7" s="208" t="n"/>
      <c r="AV7" s="209" t="n"/>
      <c r="AW7" s="210" t="n"/>
    </row>
    <row r="8" ht="21.75" customHeight="1" s="107">
      <c r="A8" s="186" t="inlineStr">
        <is>
          <t>10:00</t>
        </is>
      </c>
      <c r="B8" s="187" t="n"/>
      <c r="C8" s="187" t="n"/>
      <c r="D8" s="187" t="n"/>
      <c r="E8" s="187" t="n"/>
      <c r="F8" s="187" t="n"/>
      <c r="G8" s="187" t="n"/>
      <c r="H8" s="187" t="n"/>
      <c r="I8" s="187" t="n"/>
      <c r="J8" s="179" t="n"/>
      <c r="K8" s="186" t="inlineStr">
        <is>
          <t>10:00</t>
        </is>
      </c>
      <c r="L8" s="211" t="n"/>
      <c r="M8" s="212" t="n"/>
      <c r="N8" s="213" t="n"/>
      <c r="O8" s="214" t="n"/>
      <c r="P8" s="215" t="n"/>
      <c r="Q8" s="216" t="n"/>
      <c r="R8" s="217" t="n"/>
      <c r="S8" s="218" t="n"/>
      <c r="T8" s="179" t="n"/>
      <c r="U8" s="186" t="inlineStr">
        <is>
          <t>10:00</t>
        </is>
      </c>
      <c r="V8" s="219" t="inlineStr">
        <is>
          <t>Morning Break</t>
        </is>
      </c>
      <c r="W8" s="177" t="n"/>
      <c r="X8" s="177" t="n"/>
      <c r="Y8" s="177" t="n"/>
      <c r="Z8" s="177" t="n"/>
      <c r="AA8" s="177" t="n"/>
      <c r="AB8" s="177" t="n"/>
      <c r="AC8" s="220" t="n"/>
      <c r="AD8" s="179" t="n"/>
      <c r="AE8" s="186" t="inlineStr">
        <is>
          <t>10:00</t>
        </is>
      </c>
      <c r="AF8" s="211" t="n"/>
      <c r="AG8" s="212" t="n"/>
      <c r="AH8" s="213" t="n"/>
      <c r="AI8" s="214" t="n"/>
      <c r="AJ8" s="215" t="n"/>
      <c r="AK8" s="216" t="n"/>
      <c r="AL8" s="217" t="n"/>
      <c r="AM8" s="218" t="n"/>
      <c r="AN8" s="179" t="n"/>
      <c r="AO8" s="186" t="inlineStr">
        <is>
          <t>10:00</t>
        </is>
      </c>
      <c r="AP8" s="211" t="n"/>
      <c r="AQ8" s="212" t="n"/>
      <c r="AR8" s="213" t="n"/>
      <c r="AS8" s="214" t="n"/>
      <c r="AT8" s="215" t="n"/>
      <c r="AU8" s="216" t="n"/>
      <c r="AV8" s="217" t="n"/>
      <c r="AW8" s="218" t="n"/>
    </row>
    <row r="9" ht="21.75" customHeight="1" s="107">
      <c r="A9" s="188" t="inlineStr">
        <is>
          <t>10:30</t>
        </is>
      </c>
      <c r="B9" s="192" t="inlineStr">
        <is>
          <t>Leading Through Change</t>
        </is>
      </c>
      <c r="C9" s="193" t="inlineStr">
        <is>
          <t>Mark Torres</t>
        </is>
      </c>
      <c r="D9" s="194" t="inlineStr">
        <is>
          <t>API Design Patterns</t>
        </is>
      </c>
      <c r="E9" s="195" t="inlineStr">
        <is>
          <t>Priya Sharma</t>
        </is>
      </c>
      <c r="F9" s="196" t="inlineStr">
        <is>
          <t>Empathy Mapping 101</t>
        </is>
      </c>
      <c r="G9" s="197" t="inlineStr">
        <is>
          <t>Lena Müller</t>
        </is>
      </c>
      <c r="H9" s="198" t="inlineStr">
        <is>
          <t>Lean Process Improvement</t>
        </is>
      </c>
      <c r="I9" s="199" t="inlineStr">
        <is>
          <t>James Wright</t>
        </is>
      </c>
      <c r="J9" s="179" t="n"/>
      <c r="K9" s="188" t="inlineStr">
        <is>
          <t>10:30</t>
        </is>
      </c>
      <c r="L9" s="219" t="inlineStr">
        <is>
          <t>Morning Break</t>
        </is>
      </c>
      <c r="M9" s="177" t="n"/>
      <c r="N9" s="177" t="n"/>
      <c r="O9" s="177" t="n"/>
      <c r="P9" s="177" t="n"/>
      <c r="Q9" s="177" t="n"/>
      <c r="R9" s="177" t="n"/>
      <c r="S9" s="220" t="n"/>
      <c r="T9" s="179" t="n"/>
      <c r="U9" s="188" t="inlineStr">
        <is>
          <t>10:30</t>
        </is>
      </c>
      <c r="V9" s="192" t="inlineStr">
        <is>
          <t>Cross-Team Collaboration</t>
        </is>
      </c>
      <c r="W9" s="193" t="inlineStr">
        <is>
          <t>Aisha Johnson</t>
        </is>
      </c>
      <c r="X9" s="194" t="inlineStr">
        <is>
          <t>AI/ML Integration</t>
        </is>
      </c>
      <c r="Y9" s="195" t="inlineStr">
        <is>
          <t>Wei Zhang</t>
        </is>
      </c>
      <c r="Z9" s="196" t="inlineStr">
        <is>
          <t>Workshop Facilitation</t>
        </is>
      </c>
      <c r="AA9" s="197" t="inlineStr">
        <is>
          <t>Lena Müller</t>
        </is>
      </c>
      <c r="AB9" s="198" t="inlineStr">
        <is>
          <t>Incident Response</t>
        </is>
      </c>
      <c r="AC9" s="199" t="inlineStr">
        <is>
          <t>Alex Novak</t>
        </is>
      </c>
      <c r="AD9" s="179" t="n"/>
      <c r="AE9" s="188" t="inlineStr">
        <is>
          <t>10:30</t>
        </is>
      </c>
      <c r="AF9" s="219" t="inlineStr">
        <is>
          <t>Morning Break</t>
        </is>
      </c>
      <c r="AG9" s="177" t="n"/>
      <c r="AH9" s="177" t="n"/>
      <c r="AI9" s="177" t="n"/>
      <c r="AJ9" s="177" t="n"/>
      <c r="AK9" s="177" t="n"/>
      <c r="AL9" s="177" t="n"/>
      <c r="AM9" s="220" t="n"/>
      <c r="AN9" s="179" t="n"/>
      <c r="AO9" s="188" t="inlineStr">
        <is>
          <t>10:30</t>
        </is>
      </c>
      <c r="AP9" s="219" t="inlineStr">
        <is>
          <t>Morning Break</t>
        </is>
      </c>
      <c r="AQ9" s="177" t="n"/>
      <c r="AR9" s="177" t="n"/>
      <c r="AS9" s="177" t="n"/>
      <c r="AT9" s="177" t="n"/>
      <c r="AU9" s="177" t="n"/>
      <c r="AV9" s="177" t="n"/>
      <c r="AW9" s="220" t="n"/>
    </row>
    <row r="10" ht="21.75" customHeight="1" s="107">
      <c r="A10" s="186" t="inlineStr">
        <is>
          <t>11:00</t>
        </is>
      </c>
      <c r="B10" s="203" t="n"/>
      <c r="C10" s="204" t="n"/>
      <c r="D10" s="205" t="n"/>
      <c r="E10" s="206" t="n"/>
      <c r="F10" s="207" t="n"/>
      <c r="G10" s="208" t="n"/>
      <c r="H10" s="209" t="n"/>
      <c r="I10" s="210" t="n"/>
      <c r="J10" s="179" t="n"/>
      <c r="K10" s="186" t="inlineStr">
        <is>
          <t>11:00</t>
        </is>
      </c>
      <c r="L10" s="189" t="inlineStr">
        <is>
          <t>Panel: Future of Work</t>
        </is>
      </c>
      <c r="M10" s="190" t="n"/>
      <c r="N10" s="190" t="n"/>
      <c r="O10" s="190" t="n"/>
      <c r="P10" s="190" t="n"/>
      <c r="Q10" s="190" t="n"/>
      <c r="R10" s="190" t="n"/>
      <c r="S10" s="191" t="n"/>
      <c r="T10" s="179" t="n"/>
      <c r="U10" s="186" t="inlineStr">
        <is>
          <t>11:00</t>
        </is>
      </c>
      <c r="V10" s="203" t="n"/>
      <c r="W10" s="204" t="n"/>
      <c r="X10" s="205" t="n"/>
      <c r="Y10" s="206" t="n"/>
      <c r="Z10" s="207" t="n"/>
      <c r="AA10" s="208" t="n"/>
      <c r="AB10" s="209" t="n"/>
      <c r="AC10" s="210" t="n"/>
      <c r="AD10" s="179" t="n"/>
      <c r="AE10" s="186" t="inlineStr">
        <is>
          <t>11:00</t>
        </is>
      </c>
      <c r="AF10" s="192" t="inlineStr">
        <is>
          <t>Presentation Mastery</t>
        </is>
      </c>
      <c r="AG10" s="193" t="inlineStr">
        <is>
          <t>Tom Bradley</t>
        </is>
      </c>
      <c r="AH10" s="194" t="inlineStr">
        <is>
          <t>Testing Strategies</t>
        </is>
      </c>
      <c r="AI10" s="195" t="inlineStr">
        <is>
          <t>Priya Sharma</t>
        </is>
      </c>
      <c r="AJ10" s="196" t="inlineStr">
        <is>
          <t>Design Critiques</t>
        </is>
      </c>
      <c r="AK10" s="197" t="inlineStr">
        <is>
          <t>Yuki Tanaka</t>
        </is>
      </c>
      <c r="AL10" s="198" t="inlineStr">
        <is>
          <t>Process Automation</t>
        </is>
      </c>
      <c r="AM10" s="199" t="inlineStr">
        <is>
          <t>Nina Petrov</t>
        </is>
      </c>
      <c r="AN10" s="179" t="n"/>
      <c r="AO10" s="186" t="inlineStr">
        <is>
          <t>11:00</t>
        </is>
      </c>
      <c r="AP10" s="189" t="inlineStr">
        <is>
          <t>Track Showcases</t>
        </is>
      </c>
      <c r="AQ10" s="190" t="n"/>
      <c r="AR10" s="190" t="n"/>
      <c r="AS10" s="190" t="n"/>
      <c r="AT10" s="190" t="n"/>
      <c r="AU10" s="190" t="n"/>
      <c r="AV10" s="190" t="n"/>
      <c r="AW10" s="191" t="n"/>
    </row>
    <row r="11" ht="21.75" customHeight="1" s="107">
      <c r="A11" s="188" t="inlineStr">
        <is>
          <t>11:30</t>
        </is>
      </c>
      <c r="B11" s="211" t="n"/>
      <c r="C11" s="212" t="n"/>
      <c r="D11" s="213" t="n"/>
      <c r="E11" s="214" t="n"/>
      <c r="F11" s="215" t="n"/>
      <c r="G11" s="216" t="n"/>
      <c r="H11" s="217" t="n"/>
      <c r="I11" s="218" t="n"/>
      <c r="J11" s="179" t="n"/>
      <c r="K11" s="188" t="inlineStr">
        <is>
          <t>11:30</t>
        </is>
      </c>
      <c r="L11" s="200" t="n"/>
      <c r="M11" s="201" t="n"/>
      <c r="N11" s="201" t="n"/>
      <c r="O11" s="201" t="n"/>
      <c r="P11" s="201" t="n"/>
      <c r="Q11" s="201" t="n"/>
      <c r="R11" s="201" t="n"/>
      <c r="S11" s="202" t="n"/>
      <c r="T11" s="179" t="n"/>
      <c r="U11" s="188" t="inlineStr">
        <is>
          <t>11:30</t>
        </is>
      </c>
      <c r="V11" s="211" t="n"/>
      <c r="W11" s="212" t="n"/>
      <c r="X11" s="213" t="n"/>
      <c r="Y11" s="214" t="n"/>
      <c r="Z11" s="215" t="n"/>
      <c r="AA11" s="216" t="n"/>
      <c r="AB11" s="217" t="n"/>
      <c r="AC11" s="218" t="n"/>
      <c r="AD11" s="179" t="n"/>
      <c r="AE11" s="188" t="inlineStr">
        <is>
          <t>11:30</t>
        </is>
      </c>
      <c r="AF11" s="203" t="n"/>
      <c r="AG11" s="204" t="n"/>
      <c r="AH11" s="205" t="n"/>
      <c r="AI11" s="206" t="n"/>
      <c r="AJ11" s="207" t="n"/>
      <c r="AK11" s="208" t="n"/>
      <c r="AL11" s="209" t="n"/>
      <c r="AM11" s="210" t="n"/>
      <c r="AN11" s="179" t="n"/>
      <c r="AO11" s="188" t="inlineStr">
        <is>
          <t>11:30</t>
        </is>
      </c>
      <c r="AP11" s="200" t="n"/>
      <c r="AQ11" s="201" t="n"/>
      <c r="AR11" s="201" t="n"/>
      <c r="AS11" s="201" t="n"/>
      <c r="AT11" s="201" t="n"/>
      <c r="AU11" s="201" t="n"/>
      <c r="AV11" s="201" t="n"/>
      <c r="AW11" s="202" t="n"/>
    </row>
    <row r="12" ht="21.75" customHeight="1" s="107">
      <c r="A12" s="186" t="inlineStr">
        <is>
          <t>12:00</t>
        </is>
      </c>
      <c r="B12" s="219" t="inlineStr">
        <is>
          <t>Lunch &amp; Networking</t>
        </is>
      </c>
      <c r="C12" s="221" t="n"/>
      <c r="D12" s="221" t="n"/>
      <c r="E12" s="221" t="n"/>
      <c r="F12" s="221" t="n"/>
      <c r="G12" s="221" t="n"/>
      <c r="H12" s="221" t="n"/>
      <c r="I12" s="222" t="n"/>
      <c r="J12" s="179" t="n"/>
      <c r="K12" s="186" t="inlineStr">
        <is>
          <t>12:00</t>
        </is>
      </c>
      <c r="L12" s="219" t="inlineStr">
        <is>
          <t>Lunch &amp; Networking</t>
        </is>
      </c>
      <c r="M12" s="221" t="n"/>
      <c r="N12" s="221" t="n"/>
      <c r="O12" s="221" t="n"/>
      <c r="P12" s="221" t="n"/>
      <c r="Q12" s="221" t="n"/>
      <c r="R12" s="221" t="n"/>
      <c r="S12" s="222" t="n"/>
      <c r="T12" s="179" t="n"/>
      <c r="U12" s="186" t="inlineStr">
        <is>
          <t>12:00</t>
        </is>
      </c>
      <c r="V12" s="219" t="inlineStr">
        <is>
          <t>Lunch &amp; Networking</t>
        </is>
      </c>
      <c r="W12" s="221" t="n"/>
      <c r="X12" s="221" t="n"/>
      <c r="Y12" s="221" t="n"/>
      <c r="Z12" s="221" t="n"/>
      <c r="AA12" s="221" t="n"/>
      <c r="AB12" s="221" t="n"/>
      <c r="AC12" s="222" t="n"/>
      <c r="AD12" s="179" t="n"/>
      <c r="AE12" s="186" t="inlineStr">
        <is>
          <t>12:00</t>
        </is>
      </c>
      <c r="AF12" s="211" t="n"/>
      <c r="AG12" s="212" t="n"/>
      <c r="AH12" s="213" t="n"/>
      <c r="AI12" s="214" t="n"/>
      <c r="AJ12" s="215" t="n"/>
      <c r="AK12" s="216" t="n"/>
      <c r="AL12" s="217" t="n"/>
      <c r="AM12" s="218" t="n"/>
      <c r="AN12" s="179" t="n"/>
      <c r="AO12" s="186" t="inlineStr">
        <is>
          <t>12:00</t>
        </is>
      </c>
      <c r="AP12" s="219" t="inlineStr">
        <is>
          <t>Farewell Lunch</t>
        </is>
      </c>
      <c r="AQ12" s="221" t="n"/>
      <c r="AR12" s="221" t="n"/>
      <c r="AS12" s="221" t="n"/>
      <c r="AT12" s="221" t="n"/>
      <c r="AU12" s="221" t="n"/>
      <c r="AV12" s="221" t="n"/>
      <c r="AW12" s="222" t="n"/>
    </row>
    <row r="13" ht="21.75" customHeight="1" s="107">
      <c r="A13" s="188" t="inlineStr">
        <is>
          <t>12:30</t>
        </is>
      </c>
      <c r="B13" s="223" t="n"/>
      <c r="C13" s="224" t="n"/>
      <c r="D13" s="224" t="n"/>
      <c r="E13" s="224" t="n"/>
      <c r="F13" s="224" t="n"/>
      <c r="G13" s="224" t="n"/>
      <c r="H13" s="224" t="n"/>
      <c r="I13" s="225" t="n"/>
      <c r="J13" s="179" t="n"/>
      <c r="K13" s="188" t="inlineStr">
        <is>
          <t>12:30</t>
        </is>
      </c>
      <c r="L13" s="223" t="n"/>
      <c r="M13" s="224" t="n"/>
      <c r="N13" s="224" t="n"/>
      <c r="O13" s="224" t="n"/>
      <c r="P13" s="224" t="n"/>
      <c r="Q13" s="224" t="n"/>
      <c r="R13" s="224" t="n"/>
      <c r="S13" s="225" t="n"/>
      <c r="T13" s="179" t="n"/>
      <c r="U13" s="188" t="inlineStr">
        <is>
          <t>12:30</t>
        </is>
      </c>
      <c r="V13" s="223" t="n"/>
      <c r="W13" s="224" t="n"/>
      <c r="X13" s="224" t="n"/>
      <c r="Y13" s="224" t="n"/>
      <c r="Z13" s="224" t="n"/>
      <c r="AA13" s="224" t="n"/>
      <c r="AB13" s="224" t="n"/>
      <c r="AC13" s="225" t="n"/>
      <c r="AD13" s="179" t="n"/>
      <c r="AE13" s="188" t="inlineStr">
        <is>
          <t>12:30</t>
        </is>
      </c>
      <c r="AF13" s="219" t="inlineStr">
        <is>
          <t>Lunch &amp; Networking</t>
        </is>
      </c>
      <c r="AG13" s="221" t="n"/>
      <c r="AH13" s="221" t="n"/>
      <c r="AI13" s="221" t="n"/>
      <c r="AJ13" s="221" t="n"/>
      <c r="AK13" s="221" t="n"/>
      <c r="AL13" s="221" t="n"/>
      <c r="AM13" s="222" t="n"/>
      <c r="AN13" s="179" t="n"/>
      <c r="AO13" s="188" t="inlineStr">
        <is>
          <t>12:30</t>
        </is>
      </c>
      <c r="AP13" s="223" t="n"/>
      <c r="AQ13" s="224" t="n"/>
      <c r="AR13" s="224" t="n"/>
      <c r="AS13" s="224" t="n"/>
      <c r="AT13" s="224" t="n"/>
      <c r="AU13" s="224" t="n"/>
      <c r="AV13" s="224" t="n"/>
      <c r="AW13" s="225" t="n"/>
    </row>
    <row r="14" ht="21.75" customHeight="1" s="107">
      <c r="A14" s="186" t="inlineStr">
        <is>
          <t>13:00</t>
        </is>
      </c>
      <c r="B14" s="192" t="inlineStr">
        <is>
          <t>Stakeholder Alignment</t>
        </is>
      </c>
      <c r="C14" s="193" t="inlineStr">
        <is>
          <t>Aisha Johnson</t>
        </is>
      </c>
      <c r="D14" s="194" t="inlineStr">
        <is>
          <t>Cloud Infrastructure</t>
        </is>
      </c>
      <c r="E14" s="195" t="inlineStr">
        <is>
          <t>David Kim</t>
        </is>
      </c>
      <c r="F14" s="196" t="inlineStr">
        <is>
          <t>Prototyping Sprint</t>
        </is>
      </c>
      <c r="G14" s="197" t="inlineStr">
        <is>
          <t>Carlos Ruiz</t>
        </is>
      </c>
      <c r="H14" s="198" t="inlineStr">
        <is>
          <t>Risk Assessment</t>
        </is>
      </c>
      <c r="I14" s="199" t="inlineStr">
        <is>
          <t>Nina Petrov</t>
        </is>
      </c>
      <c r="J14" s="179" t="n"/>
      <c r="K14" s="186" t="inlineStr">
        <is>
          <t>13:00</t>
        </is>
      </c>
      <c r="L14" s="192" t="inlineStr">
        <is>
          <t>Conflict Resolution</t>
        </is>
      </c>
      <c r="M14" s="193" t="inlineStr">
        <is>
          <t>Mark Torres</t>
        </is>
      </c>
      <c r="N14" s="194" t="inlineStr">
        <is>
          <t>DevOps Practices</t>
        </is>
      </c>
      <c r="O14" s="195" t="inlineStr">
        <is>
          <t>Priya Sharma</t>
        </is>
      </c>
      <c r="P14" s="196" t="inlineStr">
        <is>
          <t>Accessibility Workshop</t>
        </is>
      </c>
      <c r="Q14" s="197" t="inlineStr">
        <is>
          <t>Carlos Ruiz</t>
        </is>
      </c>
      <c r="R14" s="198" t="inlineStr">
        <is>
          <t>Vendor Management</t>
        </is>
      </c>
      <c r="S14" s="199" t="inlineStr">
        <is>
          <t>Nina Petrov</t>
        </is>
      </c>
      <c r="T14" s="179" t="n"/>
      <c r="U14" s="186" t="inlineStr">
        <is>
          <t>13:00</t>
        </is>
      </c>
      <c r="V14" s="189" t="inlineStr">
        <is>
          <t>Cross-Track Hackathon</t>
        </is>
      </c>
      <c r="W14" s="190" t="n"/>
      <c r="X14" s="190" t="n"/>
      <c r="Y14" s="190" t="n"/>
      <c r="Z14" s="190" t="n"/>
      <c r="AA14" s="190" t="n"/>
      <c r="AB14" s="190" t="n"/>
      <c r="AC14" s="191" t="n"/>
      <c r="AD14" s="179" t="n"/>
      <c r="AE14" s="186" t="inlineStr">
        <is>
          <t>13:00</t>
        </is>
      </c>
      <c r="AF14" s="223" t="n"/>
      <c r="AG14" s="224" t="n"/>
      <c r="AH14" s="224" t="n"/>
      <c r="AI14" s="224" t="n"/>
      <c r="AJ14" s="224" t="n"/>
      <c r="AK14" s="224" t="n"/>
      <c r="AL14" s="224" t="n"/>
      <c r="AM14" s="225" t="n"/>
      <c r="AN14" s="179" t="n"/>
      <c r="AO14" s="186" t="inlineStr">
        <is>
          <t>13:00</t>
        </is>
      </c>
      <c r="AP14" s="189" t="inlineStr">
        <is>
          <t>Closing Keynote &amp; Awards</t>
        </is>
      </c>
      <c r="AQ14" s="190" t="n"/>
      <c r="AR14" s="190" t="n"/>
      <c r="AS14" s="190" t="n"/>
      <c r="AT14" s="190" t="n"/>
      <c r="AU14" s="190" t="n"/>
      <c r="AV14" s="190" t="n"/>
      <c r="AW14" s="191" t="n"/>
    </row>
    <row r="15" ht="21.75" customHeight="1" s="107">
      <c r="A15" s="188" t="inlineStr">
        <is>
          <t>13:30</t>
        </is>
      </c>
      <c r="B15" s="203" t="n"/>
      <c r="C15" s="204" t="n"/>
      <c r="D15" s="205" t="n"/>
      <c r="E15" s="206" t="n"/>
      <c r="F15" s="207" t="n"/>
      <c r="G15" s="208" t="n"/>
      <c r="H15" s="209" t="n"/>
      <c r="I15" s="210" t="n"/>
      <c r="J15" s="179" t="n"/>
      <c r="K15" s="188" t="inlineStr">
        <is>
          <t>13:30</t>
        </is>
      </c>
      <c r="L15" s="203" t="n"/>
      <c r="M15" s="204" t="n"/>
      <c r="N15" s="205" t="n"/>
      <c r="O15" s="206" t="n"/>
      <c r="P15" s="207" t="n"/>
      <c r="Q15" s="208" t="n"/>
      <c r="R15" s="209" t="n"/>
      <c r="S15" s="210" t="n"/>
      <c r="T15" s="179" t="n"/>
      <c r="U15" s="188" t="inlineStr">
        <is>
          <t>13:30</t>
        </is>
      </c>
      <c r="V15" s="226" t="n"/>
      <c r="AC15" s="227" t="n"/>
      <c r="AD15" s="179" t="n"/>
      <c r="AE15" s="188" t="inlineStr">
        <is>
          <t>13:30</t>
        </is>
      </c>
      <c r="AF15" s="192" t="inlineStr">
        <is>
          <t>Succession Planning</t>
        </is>
      </c>
      <c r="AG15" s="193" t="inlineStr">
        <is>
          <t>Aisha Johnson</t>
        </is>
      </c>
      <c r="AH15" s="194" t="inlineStr">
        <is>
          <t>Code Review Culture</t>
        </is>
      </c>
      <c r="AI15" s="195" t="inlineStr">
        <is>
          <t>Alex Novak</t>
        </is>
      </c>
      <c r="AJ15" s="196" t="inlineStr">
        <is>
          <t>Design Handoff</t>
        </is>
      </c>
      <c r="AK15" s="197" t="inlineStr">
        <is>
          <t>Lena Müller</t>
        </is>
      </c>
      <c r="AL15" s="198" t="inlineStr">
        <is>
          <t>KPI Dashboards</t>
        </is>
      </c>
      <c r="AM15" s="199" t="inlineStr">
        <is>
          <t>Rachel Green</t>
        </is>
      </c>
      <c r="AN15" s="179" t="n"/>
      <c r="AO15" s="188" t="inlineStr">
        <is>
          <t>13:30</t>
        </is>
      </c>
      <c r="AP15" s="200" t="n"/>
      <c r="AQ15" s="201" t="n"/>
      <c r="AR15" s="201" t="n"/>
      <c r="AS15" s="201" t="n"/>
      <c r="AT15" s="201" t="n"/>
      <c r="AU15" s="201" t="n"/>
      <c r="AV15" s="201" t="n"/>
      <c r="AW15" s="202" t="n"/>
    </row>
    <row r="16" ht="21.75" customHeight="1" s="107">
      <c r="A16" s="186" t="inlineStr">
        <is>
          <t>14:00</t>
        </is>
      </c>
      <c r="B16" s="211" t="n"/>
      <c r="C16" s="212" t="n"/>
      <c r="D16" s="213" t="n"/>
      <c r="E16" s="214" t="n"/>
      <c r="F16" s="215" t="n"/>
      <c r="G16" s="216" t="n"/>
      <c r="H16" s="217" t="n"/>
      <c r="I16" s="218" t="n"/>
      <c r="J16" s="179" t="n"/>
      <c r="K16" s="186" t="inlineStr">
        <is>
          <t>14:00</t>
        </is>
      </c>
      <c r="L16" s="211" t="n"/>
      <c r="M16" s="212" t="n"/>
      <c r="N16" s="213" t="n"/>
      <c r="O16" s="214" t="n"/>
      <c r="P16" s="215" t="n"/>
      <c r="Q16" s="216" t="n"/>
      <c r="R16" s="217" t="n"/>
      <c r="S16" s="218" t="n"/>
      <c r="T16" s="179" t="n"/>
      <c r="U16" s="186" t="inlineStr">
        <is>
          <t>14:00</t>
        </is>
      </c>
      <c r="V16" s="226" t="n"/>
      <c r="AC16" s="227" t="n"/>
      <c r="AD16" s="179" t="n"/>
      <c r="AE16" s="186" t="inlineStr">
        <is>
          <t>14:00</t>
        </is>
      </c>
      <c r="AF16" s="203" t="n"/>
      <c r="AG16" s="204" t="n"/>
      <c r="AH16" s="205" t="n"/>
      <c r="AI16" s="206" t="n"/>
      <c r="AJ16" s="207" t="n"/>
      <c r="AK16" s="208" t="n"/>
      <c r="AL16" s="209" t="n"/>
      <c r="AM16" s="210" t="n"/>
      <c r="AN16" s="179" t="n"/>
      <c r="AO16" s="186" t="inlineStr">
        <is>
          <t>14:00</t>
        </is>
      </c>
      <c r="AP16" s="187" t="n"/>
      <c r="AQ16" s="187" t="n"/>
      <c r="AR16" s="187" t="n"/>
      <c r="AS16" s="187" t="n"/>
      <c r="AT16" s="187" t="n"/>
      <c r="AU16" s="187" t="n"/>
      <c r="AV16" s="187" t="n"/>
      <c r="AW16" s="187" t="n"/>
    </row>
    <row r="17" ht="21.75" customHeight="1" s="107">
      <c r="A17" s="188" t="inlineStr">
        <is>
          <t>14:30</t>
        </is>
      </c>
      <c r="B17" s="219" t="inlineStr">
        <is>
          <t>Afternoon Break</t>
        </is>
      </c>
      <c r="C17" s="177" t="n"/>
      <c r="D17" s="177" t="n"/>
      <c r="E17" s="177" t="n"/>
      <c r="F17" s="177" t="n"/>
      <c r="G17" s="177" t="n"/>
      <c r="H17" s="177" t="n"/>
      <c r="I17" s="220" t="n"/>
      <c r="J17" s="179" t="n"/>
      <c r="K17" s="188" t="inlineStr">
        <is>
          <t>14:30</t>
        </is>
      </c>
      <c r="L17" s="219" t="inlineStr">
        <is>
          <t>Afternoon Break</t>
        </is>
      </c>
      <c r="M17" s="177" t="n"/>
      <c r="N17" s="177" t="n"/>
      <c r="O17" s="177" t="n"/>
      <c r="P17" s="177" t="n"/>
      <c r="Q17" s="177" t="n"/>
      <c r="R17" s="177" t="n"/>
      <c r="S17" s="220" t="n"/>
      <c r="T17" s="179" t="n"/>
      <c r="U17" s="188" t="inlineStr">
        <is>
          <t>14:30</t>
        </is>
      </c>
      <c r="V17" s="226" t="n"/>
      <c r="AC17" s="227" t="n"/>
      <c r="AD17" s="179" t="n"/>
      <c r="AE17" s="188" t="inlineStr">
        <is>
          <t>14:30</t>
        </is>
      </c>
      <c r="AF17" s="211" t="n"/>
      <c r="AG17" s="212" t="n"/>
      <c r="AH17" s="213" t="n"/>
      <c r="AI17" s="214" t="n"/>
      <c r="AJ17" s="215" t="n"/>
      <c r="AK17" s="216" t="n"/>
      <c r="AL17" s="217" t="n"/>
      <c r="AM17" s="218" t="n"/>
      <c r="AN17" s="179" t="n"/>
      <c r="AO17" s="188" t="inlineStr">
        <is>
          <t>14:30</t>
        </is>
      </c>
      <c r="AP17" s="187" t="n"/>
      <c r="AQ17" s="187" t="n"/>
      <c r="AR17" s="187" t="n"/>
      <c r="AS17" s="187" t="n"/>
      <c r="AT17" s="187" t="n"/>
      <c r="AU17" s="187" t="n"/>
      <c r="AV17" s="187" t="n"/>
      <c r="AW17" s="187" t="n"/>
    </row>
    <row r="18" ht="21.75" customHeight="1" s="107">
      <c r="A18" s="186" t="inlineStr">
        <is>
          <t>15:00</t>
        </is>
      </c>
      <c r="B18" s="192" t="inlineStr">
        <is>
          <t>Feedback Culture</t>
        </is>
      </c>
      <c r="C18" s="193" t="inlineStr">
        <is>
          <t>Tom Bradley</t>
        </is>
      </c>
      <c r="D18" s="194" t="inlineStr">
        <is>
          <t>Data Pipeline Design</t>
        </is>
      </c>
      <c r="E18" s="195" t="inlineStr">
        <is>
          <t>Wei Zhang</t>
        </is>
      </c>
      <c r="F18" s="196" t="inlineStr">
        <is>
          <t>Service Blueprinting</t>
        </is>
      </c>
      <c r="G18" s="197" t="inlineStr">
        <is>
          <t>Lena Müller</t>
        </is>
      </c>
      <c r="H18" s="198" t="inlineStr">
        <is>
          <t>Agile Ceremonies</t>
        </is>
      </c>
      <c r="I18" s="199" t="inlineStr">
        <is>
          <t>Rachel Green</t>
        </is>
      </c>
      <c r="J18" s="179" t="n"/>
      <c r="K18" s="186" t="inlineStr">
        <is>
          <t>15:00</t>
        </is>
      </c>
      <c r="L18" s="192" t="inlineStr">
        <is>
          <t>Strategic Planning</t>
        </is>
      </c>
      <c r="M18" s="193" t="inlineStr">
        <is>
          <t>Tom Bradley</t>
        </is>
      </c>
      <c r="N18" s="194" t="inlineStr">
        <is>
          <t>Performance Testing</t>
        </is>
      </c>
      <c r="O18" s="195" t="inlineStr">
        <is>
          <t>David Kim</t>
        </is>
      </c>
      <c r="P18" s="196" t="inlineStr">
        <is>
          <t>User Research Methods</t>
        </is>
      </c>
      <c r="Q18" s="197" t="inlineStr">
        <is>
          <t>Yuki Tanaka</t>
        </is>
      </c>
      <c r="R18" s="198" t="inlineStr">
        <is>
          <t>Budget Forecasting</t>
        </is>
      </c>
      <c r="S18" s="199" t="inlineStr">
        <is>
          <t>Rachel Green</t>
        </is>
      </c>
      <c r="T18" s="179" t="n"/>
      <c r="U18" s="186" t="inlineStr">
        <is>
          <t>15:00</t>
        </is>
      </c>
      <c r="V18" s="226" t="n"/>
      <c r="AC18" s="227" t="n"/>
      <c r="AD18" s="179" t="n"/>
      <c r="AE18" s="186" t="inlineStr">
        <is>
          <t>15:00</t>
        </is>
      </c>
      <c r="AF18" s="219" t="inlineStr">
        <is>
          <t>Afternoon Break</t>
        </is>
      </c>
      <c r="AG18" s="177" t="n"/>
      <c r="AH18" s="177" t="n"/>
      <c r="AI18" s="177" t="n"/>
      <c r="AJ18" s="177" t="n"/>
      <c r="AK18" s="177" t="n"/>
      <c r="AL18" s="177" t="n"/>
      <c r="AM18" s="220" t="n"/>
      <c r="AN18" s="179" t="n"/>
      <c r="AO18" s="186" t="inlineStr">
        <is>
          <t>15:00</t>
        </is>
      </c>
      <c r="AP18" s="187" t="n"/>
      <c r="AQ18" s="187" t="n"/>
      <c r="AR18" s="187" t="n"/>
      <c r="AS18" s="187" t="n"/>
      <c r="AT18" s="187" t="n"/>
      <c r="AU18" s="187" t="n"/>
      <c r="AV18" s="187" t="n"/>
      <c r="AW18" s="187" t="n"/>
    </row>
    <row r="19" ht="21.75" customHeight="1" s="107">
      <c r="A19" s="188" t="inlineStr">
        <is>
          <t>15:30</t>
        </is>
      </c>
      <c r="B19" s="203" t="n"/>
      <c r="C19" s="204" t="n"/>
      <c r="D19" s="205" t="n"/>
      <c r="E19" s="206" t="n"/>
      <c r="F19" s="207" t="n"/>
      <c r="G19" s="208" t="n"/>
      <c r="H19" s="209" t="n"/>
      <c r="I19" s="210" t="n"/>
      <c r="J19" s="179" t="n"/>
      <c r="K19" s="188" t="inlineStr">
        <is>
          <t>15:30</t>
        </is>
      </c>
      <c r="L19" s="203" t="n"/>
      <c r="M19" s="204" t="n"/>
      <c r="N19" s="205" t="n"/>
      <c r="O19" s="206" t="n"/>
      <c r="P19" s="207" t="n"/>
      <c r="Q19" s="208" t="n"/>
      <c r="R19" s="209" t="n"/>
      <c r="S19" s="210" t="n"/>
      <c r="T19" s="179" t="n"/>
      <c r="U19" s="188" t="inlineStr">
        <is>
          <t>15:30</t>
        </is>
      </c>
      <c r="V19" s="226" t="n"/>
      <c r="AC19" s="227" t="n"/>
      <c r="AD19" s="179" t="n"/>
      <c r="AE19" s="188" t="inlineStr">
        <is>
          <t>15:30</t>
        </is>
      </c>
      <c r="AF19" s="189" t="inlineStr">
        <is>
          <t>Hackathon Presentations</t>
        </is>
      </c>
      <c r="AG19" s="190" t="n"/>
      <c r="AH19" s="190" t="n"/>
      <c r="AI19" s="190" t="n"/>
      <c r="AJ19" s="190" t="n"/>
      <c r="AK19" s="190" t="n"/>
      <c r="AL19" s="190" t="n"/>
      <c r="AM19" s="191" t="n"/>
      <c r="AN19" s="179" t="n"/>
      <c r="AO19" s="188" t="inlineStr">
        <is>
          <t>15:30</t>
        </is>
      </c>
      <c r="AP19" s="187" t="n"/>
      <c r="AQ19" s="187" t="n"/>
      <c r="AR19" s="187" t="n"/>
      <c r="AS19" s="187" t="n"/>
      <c r="AT19" s="187" t="n"/>
      <c r="AU19" s="187" t="n"/>
      <c r="AV19" s="187" t="n"/>
      <c r="AW19" s="187" t="n"/>
    </row>
    <row r="20" ht="21.75" customHeight="1" s="107">
      <c r="A20" s="186" t="inlineStr">
        <is>
          <t>16:00</t>
        </is>
      </c>
      <c r="B20" s="211" t="n"/>
      <c r="C20" s="212" t="n"/>
      <c r="D20" s="213" t="n"/>
      <c r="E20" s="214" t="n"/>
      <c r="F20" s="215" t="n"/>
      <c r="G20" s="216" t="n"/>
      <c r="H20" s="217" t="n"/>
      <c r="I20" s="218" t="n"/>
      <c r="J20" s="179" t="n"/>
      <c r="K20" s="186" t="inlineStr">
        <is>
          <t>16:00</t>
        </is>
      </c>
      <c r="L20" s="211" t="n"/>
      <c r="M20" s="212" t="n"/>
      <c r="N20" s="213" t="n"/>
      <c r="O20" s="214" t="n"/>
      <c r="P20" s="215" t="n"/>
      <c r="Q20" s="216" t="n"/>
      <c r="R20" s="217" t="n"/>
      <c r="S20" s="218" t="n"/>
      <c r="T20" s="179" t="n"/>
      <c r="U20" s="186" t="inlineStr">
        <is>
          <t>16:00</t>
        </is>
      </c>
      <c r="V20" s="200" t="n"/>
      <c r="W20" s="201" t="n"/>
      <c r="X20" s="201" t="n"/>
      <c r="Y20" s="201" t="n"/>
      <c r="Z20" s="201" t="n"/>
      <c r="AA20" s="201" t="n"/>
      <c r="AB20" s="201" t="n"/>
      <c r="AC20" s="202" t="n"/>
      <c r="AD20" s="179" t="n"/>
      <c r="AE20" s="186" t="inlineStr">
        <is>
          <t>16:00</t>
        </is>
      </c>
      <c r="AF20" s="226" t="n"/>
      <c r="AM20" s="227" t="n"/>
      <c r="AN20" s="179" t="n"/>
      <c r="AO20" s="186" t="inlineStr">
        <is>
          <t>16:00</t>
        </is>
      </c>
      <c r="AP20" s="187" t="n"/>
      <c r="AQ20" s="187" t="n"/>
      <c r="AR20" s="187" t="n"/>
      <c r="AS20" s="187" t="n"/>
      <c r="AT20" s="187" t="n"/>
      <c r="AU20" s="187" t="n"/>
      <c r="AV20" s="187" t="n"/>
      <c r="AW20" s="187" t="n"/>
    </row>
    <row r="21" ht="21.75" customHeight="1" s="107">
      <c r="A21" s="188" t="inlineStr">
        <is>
          <t>16:30</t>
        </is>
      </c>
      <c r="B21" s="187" t="n"/>
      <c r="C21" s="187" t="n"/>
      <c r="D21" s="187" t="n"/>
      <c r="E21" s="187" t="n"/>
      <c r="F21" s="187" t="n"/>
      <c r="G21" s="187" t="n"/>
      <c r="H21" s="187" t="n"/>
      <c r="I21" s="187" t="n"/>
      <c r="J21" s="179" t="n"/>
      <c r="K21" s="188" t="inlineStr">
        <is>
          <t>16:30</t>
        </is>
      </c>
      <c r="L21" s="187" t="n"/>
      <c r="M21" s="187" t="n"/>
      <c r="N21" s="187" t="n"/>
      <c r="O21" s="187" t="n"/>
      <c r="P21" s="187" t="n"/>
      <c r="Q21" s="187" t="n"/>
      <c r="R21" s="187" t="n"/>
      <c r="S21" s="187" t="n"/>
      <c r="T21" s="179" t="n"/>
      <c r="U21" s="188" t="inlineStr">
        <is>
          <t>16:30</t>
        </is>
      </c>
      <c r="V21" s="187" t="n"/>
      <c r="W21" s="187" t="n"/>
      <c r="X21" s="187" t="n"/>
      <c r="Y21" s="187" t="n"/>
      <c r="Z21" s="187" t="n"/>
      <c r="AA21" s="187" t="n"/>
      <c r="AB21" s="187" t="n"/>
      <c r="AC21" s="187" t="n"/>
      <c r="AD21" s="179" t="n"/>
      <c r="AE21" s="188" t="inlineStr">
        <is>
          <t>16:30</t>
        </is>
      </c>
      <c r="AF21" s="200" t="n"/>
      <c r="AG21" s="201" t="n"/>
      <c r="AH21" s="201" t="n"/>
      <c r="AI21" s="201" t="n"/>
      <c r="AJ21" s="201" t="n"/>
      <c r="AK21" s="201" t="n"/>
      <c r="AL21" s="201" t="n"/>
      <c r="AM21" s="202" t="n"/>
      <c r="AN21" s="179" t="n"/>
      <c r="AO21" s="188" t="inlineStr">
        <is>
          <t>16:30</t>
        </is>
      </c>
      <c r="AP21" s="187" t="n"/>
      <c r="AQ21" s="187" t="n"/>
      <c r="AR21" s="187" t="n"/>
      <c r="AS21" s="187" t="n"/>
      <c r="AT21" s="187" t="n"/>
      <c r="AU21" s="187" t="n"/>
      <c r="AV21" s="187" t="n"/>
      <c r="AW21" s="187" t="n"/>
    </row>
    <row r="22" ht="21.75" customHeight="1" s="107">
      <c r="A22" s="186" t="inlineStr">
        <is>
          <t>17:00</t>
        </is>
      </c>
      <c r="B22" s="187" t="n"/>
      <c r="C22" s="187" t="n"/>
      <c r="D22" s="187" t="n"/>
      <c r="E22" s="187" t="n"/>
      <c r="F22" s="187" t="n"/>
      <c r="G22" s="187" t="n"/>
      <c r="H22" s="187" t="n"/>
      <c r="I22" s="187" t="n"/>
      <c r="J22" s="179" t="n"/>
      <c r="K22" s="186" t="inlineStr">
        <is>
          <t>17:00</t>
        </is>
      </c>
      <c r="L22" s="187" t="n"/>
      <c r="M22" s="187" t="n"/>
      <c r="N22" s="187" t="n"/>
      <c r="O22" s="187" t="n"/>
      <c r="P22" s="187" t="n"/>
      <c r="Q22" s="187" t="n"/>
      <c r="R22" s="187" t="n"/>
      <c r="S22" s="187" t="n"/>
      <c r="T22" s="179" t="n"/>
      <c r="U22" s="186" t="inlineStr">
        <is>
          <t>17:00</t>
        </is>
      </c>
      <c r="V22" s="187" t="n"/>
      <c r="W22" s="187" t="n"/>
      <c r="X22" s="187" t="n"/>
      <c r="Y22" s="187" t="n"/>
      <c r="Z22" s="187" t="n"/>
      <c r="AA22" s="187" t="n"/>
      <c r="AB22" s="187" t="n"/>
      <c r="AC22" s="187" t="n"/>
      <c r="AD22" s="179" t="n"/>
      <c r="AE22" s="186" t="inlineStr">
        <is>
          <t>17:00</t>
        </is>
      </c>
      <c r="AF22" s="187" t="n"/>
      <c r="AG22" s="187" t="n"/>
      <c r="AH22" s="187" t="n"/>
      <c r="AI22" s="187" t="n"/>
      <c r="AJ22" s="187" t="n"/>
      <c r="AK22" s="187" t="n"/>
      <c r="AL22" s="187" t="n"/>
      <c r="AM22" s="187" t="n"/>
      <c r="AN22" s="179" t="n"/>
      <c r="AO22" s="186" t="inlineStr">
        <is>
          <t>17:00</t>
        </is>
      </c>
      <c r="AP22" s="187" t="n"/>
      <c r="AQ22" s="187" t="n"/>
      <c r="AR22" s="187" t="n"/>
      <c r="AS22" s="187" t="n"/>
      <c r="AT22" s="187" t="n"/>
      <c r="AU22" s="187" t="n"/>
      <c r="AV22" s="187" t="n"/>
      <c r="AW22" s="187" t="n"/>
    </row>
    <row r="23" ht="21.75" customHeight="1" s="107">
      <c r="A23" s="188" t="inlineStr">
        <is>
          <t>17:30</t>
        </is>
      </c>
      <c r="B23" s="187" t="n"/>
      <c r="C23" s="187" t="n"/>
      <c r="D23" s="187" t="n"/>
      <c r="E23" s="187" t="n"/>
      <c r="F23" s="187" t="n"/>
      <c r="G23" s="187" t="n"/>
      <c r="H23" s="187" t="n"/>
      <c r="I23" s="187" t="n"/>
      <c r="J23" s="179" t="n"/>
      <c r="K23" s="188" t="inlineStr">
        <is>
          <t>17:30</t>
        </is>
      </c>
      <c r="L23" s="187" t="n"/>
      <c r="M23" s="187" t="n"/>
      <c r="N23" s="187" t="n"/>
      <c r="O23" s="187" t="n"/>
      <c r="P23" s="187" t="n"/>
      <c r="Q23" s="187" t="n"/>
      <c r="R23" s="187" t="n"/>
      <c r="S23" s="187" t="n"/>
      <c r="T23" s="179" t="n"/>
      <c r="U23" s="188" t="inlineStr">
        <is>
          <t>17:30</t>
        </is>
      </c>
      <c r="V23" s="187" t="n"/>
      <c r="W23" s="187" t="n"/>
      <c r="X23" s="187" t="n"/>
      <c r="Y23" s="187" t="n"/>
      <c r="Z23" s="187" t="n"/>
      <c r="AA23" s="187" t="n"/>
      <c r="AB23" s="187" t="n"/>
      <c r="AC23" s="187" t="n"/>
      <c r="AD23" s="179" t="n"/>
      <c r="AE23" s="188" t="inlineStr">
        <is>
          <t>17:30</t>
        </is>
      </c>
      <c r="AF23" s="187" t="n"/>
      <c r="AG23" s="187" t="n"/>
      <c r="AH23" s="187" t="n"/>
      <c r="AI23" s="187" t="n"/>
      <c r="AJ23" s="187" t="n"/>
      <c r="AK23" s="187" t="n"/>
      <c r="AL23" s="187" t="n"/>
      <c r="AM23" s="187" t="n"/>
      <c r="AN23" s="179" t="n"/>
      <c r="AO23" s="188" t="inlineStr">
        <is>
          <t>17:30</t>
        </is>
      </c>
      <c r="AP23" s="187" t="n"/>
      <c r="AQ23" s="187" t="n"/>
      <c r="AR23" s="187" t="n"/>
      <c r="AS23" s="187" t="n"/>
      <c r="AT23" s="187" t="n"/>
      <c r="AU23" s="187" t="n"/>
      <c r="AV23" s="187" t="n"/>
      <c r="AW23" s="187" t="n"/>
    </row>
  </sheetData>
  <mergeCells count="113">
    <mergeCell ref="AR6:AR8"/>
    <mergeCell ref="Q6:Q8"/>
    <mergeCell ref="AF19:AM21"/>
    <mergeCell ref="B6:I7"/>
    <mergeCell ref="N6:N8"/>
    <mergeCell ref="AM15:AM17"/>
    <mergeCell ref="M14:M16"/>
    <mergeCell ref="O14:O16"/>
    <mergeCell ref="AG15:AG17"/>
    <mergeCell ref="D9:D11"/>
    <mergeCell ref="F9:F11"/>
    <mergeCell ref="K2:S2"/>
    <mergeCell ref="A2:I2"/>
    <mergeCell ref="X9:X11"/>
    <mergeCell ref="Z9:Z11"/>
    <mergeCell ref="P14:P16"/>
    <mergeCell ref="C18:C20"/>
    <mergeCell ref="R14:R16"/>
    <mergeCell ref="AT6:AT8"/>
    <mergeCell ref="B17:I17"/>
    <mergeCell ref="E18:E20"/>
    <mergeCell ref="AL6:AL8"/>
    <mergeCell ref="P6:P8"/>
    <mergeCell ref="M6:M8"/>
    <mergeCell ref="AW6:AW8"/>
    <mergeCell ref="S6:S8"/>
    <mergeCell ref="AF18:AM18"/>
    <mergeCell ref="L17:S17"/>
    <mergeCell ref="AC9:AC11"/>
    <mergeCell ref="G14:G16"/>
    <mergeCell ref="I14:I16"/>
    <mergeCell ref="AK6:AK8"/>
    <mergeCell ref="W9:W11"/>
    <mergeCell ref="AP9:AW9"/>
    <mergeCell ref="P18:P20"/>
    <mergeCell ref="H18:H20"/>
    <mergeCell ref="R18:R20"/>
    <mergeCell ref="AQ6:AQ8"/>
    <mergeCell ref="AL10:AL12"/>
    <mergeCell ref="V12:AC13"/>
    <mergeCell ref="AF13:AM14"/>
    <mergeCell ref="AI15:AI17"/>
    <mergeCell ref="AK15:AK17"/>
    <mergeCell ref="AO2:AW2"/>
    <mergeCell ref="V9:V11"/>
    <mergeCell ref="B14:B16"/>
    <mergeCell ref="L14:L16"/>
    <mergeCell ref="N14:N16"/>
    <mergeCell ref="AP10:AW11"/>
    <mergeCell ref="AF15:AF17"/>
    <mergeCell ref="AK10:AK12"/>
    <mergeCell ref="AP6:AP8"/>
    <mergeCell ref="C9:C11"/>
    <mergeCell ref="AM10:AM12"/>
    <mergeCell ref="E9:E11"/>
    <mergeCell ref="M18:M20"/>
    <mergeCell ref="AM6:AM8"/>
    <mergeCell ref="AH6:AH8"/>
    <mergeCell ref="AJ6:AJ8"/>
    <mergeCell ref="AH15:AH17"/>
    <mergeCell ref="AJ15:AJ17"/>
    <mergeCell ref="AV6:AV8"/>
    <mergeCell ref="D18:D20"/>
    <mergeCell ref="G9:G11"/>
    <mergeCell ref="V14:AC20"/>
    <mergeCell ref="AL15:AL17"/>
    <mergeCell ref="O6:O8"/>
    <mergeCell ref="AF9:AM9"/>
    <mergeCell ref="C14:C16"/>
    <mergeCell ref="E14:E16"/>
    <mergeCell ref="AG6:AG8"/>
    <mergeCell ref="R6:R8"/>
    <mergeCell ref="Q14:Q16"/>
    <mergeCell ref="S14:S16"/>
    <mergeCell ref="H9:H11"/>
    <mergeCell ref="F18:F20"/>
    <mergeCell ref="AF6:AF8"/>
    <mergeCell ref="AB9:AB11"/>
    <mergeCell ref="V6:AC7"/>
    <mergeCell ref="G18:G20"/>
    <mergeCell ref="U2:AC2"/>
    <mergeCell ref="I18:I20"/>
    <mergeCell ref="AE2:AM2"/>
    <mergeCell ref="L10:S11"/>
    <mergeCell ref="V8:AC8"/>
    <mergeCell ref="D14:D16"/>
    <mergeCell ref="F14:F16"/>
    <mergeCell ref="L6:L8"/>
    <mergeCell ref="H14:H16"/>
    <mergeCell ref="I9:I11"/>
    <mergeCell ref="AG10:AG12"/>
    <mergeCell ref="AI10:AI12"/>
    <mergeCell ref="O18:O20"/>
    <mergeCell ref="Q18:Q20"/>
    <mergeCell ref="S18:S20"/>
    <mergeCell ref="AI6:AI8"/>
    <mergeCell ref="AF10:AF12"/>
    <mergeCell ref="AP12:AW13"/>
    <mergeCell ref="Y9:Y11"/>
    <mergeCell ref="AA9:AA11"/>
    <mergeCell ref="B18:B20"/>
    <mergeCell ref="L9:S9"/>
    <mergeCell ref="A1:AW1"/>
    <mergeCell ref="B12:I13"/>
    <mergeCell ref="L18:L20"/>
    <mergeCell ref="AP14:AW15"/>
    <mergeCell ref="N18:N20"/>
    <mergeCell ref="L12:S13"/>
    <mergeCell ref="AS6:AS8"/>
    <mergeCell ref="B9:B11"/>
    <mergeCell ref="AU6:AU8"/>
    <mergeCell ref="AH10:AH12"/>
    <mergeCell ref="AJ10:AJ1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0D9488"/>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06" min="1" max="1"/>
    <col width="20" customWidth="1" style="106" min="2" max="2"/>
    <col width="40" customWidth="1" style="106" min="3" max="3"/>
    <col width="16" customWidth="1" style="106" min="4" max="5"/>
  </cols>
  <sheetData>
    <row r="1" ht="15" customHeight="1" s="107">
      <c r="A1" s="228" t="inlineStr">
        <is>
          <t>Speaker</t>
        </is>
      </c>
      <c r="B1" s="228" t="inlineStr">
        <is>
          <t>Track(s)</t>
        </is>
      </c>
      <c r="C1" s="228" t="inlineStr">
        <is>
          <t>Sessions</t>
        </is>
      </c>
      <c r="D1" s="228" t="inlineStr">
        <is>
          <t>Room(s)</t>
        </is>
      </c>
      <c r="E1" s="228" t="inlineStr">
        <is>
          <t>Days</t>
        </is>
      </c>
    </row>
    <row r="2" ht="23.25" customHeight="1" s="107">
      <c r="A2" s="229" t="inlineStr">
        <is>
          <t>Aisha Johnson</t>
        </is>
      </c>
      <c r="B2" s="229" t="inlineStr">
        <is>
          <t>Leadership</t>
        </is>
      </c>
      <c r="C2" s="230" t="inlineStr">
        <is>
          <t>Stakeholder Alignment; Emotional Intelligence; Cross-Team Collaboration</t>
        </is>
      </c>
      <c r="D2" s="230" t="inlineStr">
        <is>
          <t>Leadership</t>
        </is>
      </c>
      <c r="E2" s="230" t="inlineStr">
        <is>
          <t>1, 2, 3, 4</t>
        </is>
      </c>
    </row>
    <row r="3" ht="23.25" customHeight="1" s="107">
      <c r="A3" s="231" t="inlineStr">
        <is>
          <t>Alex Novak</t>
        </is>
      </c>
      <c r="B3" s="231" t="inlineStr">
        <is>
          <t>Operations, Technical</t>
        </is>
      </c>
      <c r="C3" s="232" t="inlineStr">
        <is>
          <t>Security Fundamentals; Incident Response; Code Review Culture</t>
        </is>
      </c>
      <c r="D3" s="232" t="inlineStr">
        <is>
          <t>Operations, Technical</t>
        </is>
      </c>
      <c r="E3" s="232" t="inlineStr">
        <is>
          <t>2, 3, 4</t>
        </is>
      </c>
    </row>
    <row r="4" ht="23.25" customHeight="1" s="107">
      <c r="A4" s="229" t="inlineStr">
        <is>
          <t>Carlos Ruiz</t>
        </is>
      </c>
      <c r="B4" s="229" t="inlineStr">
        <is>
          <t>Design Thinking</t>
        </is>
      </c>
      <c r="C4" s="230" t="inlineStr">
        <is>
          <t>Prototyping Sprint; Accessibility Workshop; Data Visualization</t>
        </is>
      </c>
      <c r="D4" s="230" t="inlineStr">
        <is>
          <t>Design Thinking</t>
        </is>
      </c>
      <c r="E4" s="230" t="inlineStr">
        <is>
          <t>1, 2, 4, 5</t>
        </is>
      </c>
    </row>
    <row r="5" ht="23.25" customHeight="1" s="107">
      <c r="A5" s="231" t="inlineStr">
        <is>
          <t>David Kim</t>
        </is>
      </c>
      <c r="B5" s="231" t="inlineStr">
        <is>
          <t>Technical</t>
        </is>
      </c>
      <c r="C5" s="232" t="inlineStr">
        <is>
          <t>Cloud Infrastructure; Performance Testing; System Architecture</t>
        </is>
      </c>
      <c r="D5" s="232" t="inlineStr">
        <is>
          <t>Technical</t>
        </is>
      </c>
      <c r="E5" s="232" t="inlineStr">
        <is>
          <t>1, 2, 4, 5</t>
        </is>
      </c>
    </row>
    <row r="6" ht="23.25" customHeight="1" s="107">
      <c r="A6" s="229" t="inlineStr">
        <is>
          <t>Dr. Sarah Chen</t>
        </is>
      </c>
      <c r="B6" s="229" t="inlineStr">
        <is>
          <t>Keynote</t>
        </is>
      </c>
      <c r="C6" s="230" t="inlineStr">
        <is>
          <t>Opening Keynote; Midweek Keynote; Closing Keynote &amp; Awards</t>
        </is>
      </c>
      <c r="D6" s="230" t="inlineStr">
        <is>
          <t>Keynote</t>
        </is>
      </c>
      <c r="E6" s="230" t="inlineStr">
        <is>
          <t>1, 3, 5</t>
        </is>
      </c>
    </row>
    <row r="7" ht="23.25" customHeight="1" s="107">
      <c r="A7" s="231" t="inlineStr">
        <is>
          <t>James Wright</t>
        </is>
      </c>
      <c r="B7" s="231" t="inlineStr">
        <is>
          <t>Operations</t>
        </is>
      </c>
      <c r="C7" s="232" t="inlineStr">
        <is>
          <t>Lean Process Improvement; Capacity Planning; Change Management</t>
        </is>
      </c>
      <c r="D7" s="232" t="inlineStr">
        <is>
          <t>Operations</t>
        </is>
      </c>
      <c r="E7" s="232" t="inlineStr">
        <is>
          <t>1, 2, 4, 5</t>
        </is>
      </c>
    </row>
    <row r="8" ht="23.25" customHeight="1" s="107">
      <c r="A8" s="229" t="inlineStr">
        <is>
          <t>Lena Müller</t>
        </is>
      </c>
      <c r="B8" s="229" t="inlineStr">
        <is>
          <t>Design Thinking</t>
        </is>
      </c>
      <c r="C8" s="230" t="inlineStr">
        <is>
          <t>Empathy Mapping 101; Service Blueprinting; Workshop Facilitation</t>
        </is>
      </c>
      <c r="D8" s="230" t="inlineStr">
        <is>
          <t>Design Thinking</t>
        </is>
      </c>
      <c r="E8" s="230" t="inlineStr">
        <is>
          <t>1, 3, 4</t>
        </is>
      </c>
    </row>
    <row r="9" ht="23.25" customHeight="1" s="107">
      <c r="A9" s="231" t="inlineStr">
        <is>
          <t>Mark Torres</t>
        </is>
      </c>
      <c r="B9" s="231" t="inlineStr">
        <is>
          <t>Leadership</t>
        </is>
      </c>
      <c r="C9" s="232" t="inlineStr">
        <is>
          <t>Leading Through Change; Conflict Resolution; Coaching Skills</t>
        </is>
      </c>
      <c r="D9" s="232" t="inlineStr">
        <is>
          <t>Leadership</t>
        </is>
      </c>
      <c r="E9" s="232" t="inlineStr">
        <is>
          <t>1, 2, 4, 5</t>
        </is>
      </c>
    </row>
    <row r="10" ht="23.25" customHeight="1" s="107">
      <c r="A10" s="229" t="inlineStr">
        <is>
          <t>Nina Petrov</t>
        </is>
      </c>
      <c r="B10" s="229" t="inlineStr">
        <is>
          <t>Operations</t>
        </is>
      </c>
      <c r="C10" s="230" t="inlineStr">
        <is>
          <t>Risk Assessment; Vendor Management; Process Automation</t>
        </is>
      </c>
      <c r="D10" s="230" t="inlineStr">
        <is>
          <t>Operations</t>
        </is>
      </c>
      <c r="E10" s="230" t="inlineStr">
        <is>
          <t>1, 2, 4</t>
        </is>
      </c>
    </row>
    <row r="11" ht="23.25" customHeight="1" s="107">
      <c r="A11" s="231" t="inlineStr">
        <is>
          <t>Priya Sharma</t>
        </is>
      </c>
      <c r="B11" s="231" t="inlineStr">
        <is>
          <t>Technical</t>
        </is>
      </c>
      <c r="C11" s="232" t="inlineStr">
        <is>
          <t>API Design Patterns; DevOps Practices; Testing Strategies</t>
        </is>
      </c>
      <c r="D11" s="232" t="inlineStr">
        <is>
          <t>Technical</t>
        </is>
      </c>
      <c r="E11" s="232" t="inlineStr">
        <is>
          <t>1, 2, 4</t>
        </is>
      </c>
    </row>
    <row r="12" ht="23.25" customHeight="1" s="107">
      <c r="A12" s="229" t="inlineStr">
        <is>
          <t>Rachel Green</t>
        </is>
      </c>
      <c r="B12" s="229" t="inlineStr">
        <is>
          <t>Operations</t>
        </is>
      </c>
      <c r="C12" s="230" t="inlineStr">
        <is>
          <t>Agile Ceremonies; Budget Forecasting; KPI Dashboards</t>
        </is>
      </c>
      <c r="D12" s="230" t="inlineStr">
        <is>
          <t>Operations</t>
        </is>
      </c>
      <c r="E12" s="230" t="inlineStr">
        <is>
          <t>1, 2, 4</t>
        </is>
      </c>
    </row>
    <row r="13" ht="23.25" customHeight="1" s="107">
      <c r="A13" s="231" t="inlineStr">
        <is>
          <t>Tom Bradley</t>
        </is>
      </c>
      <c r="B13" s="231" t="inlineStr">
        <is>
          <t>Leadership</t>
        </is>
      </c>
      <c r="C13" s="232" t="inlineStr">
        <is>
          <t>Feedback Culture; Strategic Planning; Presentation Mastery</t>
        </is>
      </c>
      <c r="D13" s="232" t="inlineStr">
        <is>
          <t>Leadership</t>
        </is>
      </c>
      <c r="E13" s="232" t="inlineStr">
        <is>
          <t>1, 2, 4</t>
        </is>
      </c>
    </row>
    <row r="14" ht="15" customHeight="1" s="107">
      <c r="A14" s="229" t="inlineStr">
        <is>
          <t>Wei Zhang</t>
        </is>
      </c>
      <c r="B14" s="229" t="inlineStr">
        <is>
          <t>Technical</t>
        </is>
      </c>
      <c r="C14" s="230" t="inlineStr">
        <is>
          <t>Data Pipeline Design; AI/ML Integration</t>
        </is>
      </c>
      <c r="D14" s="230" t="inlineStr">
        <is>
          <t>Technical</t>
        </is>
      </c>
      <c r="E14" s="230" t="inlineStr">
        <is>
          <t>1, 3</t>
        </is>
      </c>
    </row>
    <row r="15" ht="23.25" customHeight="1" s="107">
      <c r="A15" s="231" t="inlineStr">
        <is>
          <t>Yuki Tanaka</t>
        </is>
      </c>
      <c r="B15" s="231" t="inlineStr">
        <is>
          <t>Design Thinking</t>
        </is>
      </c>
      <c r="C15" s="232" t="inlineStr">
        <is>
          <t>Design Systems; User Research Methods; Design Critiques</t>
        </is>
      </c>
      <c r="D15" s="232" t="inlineStr">
        <is>
          <t>Design Thinking</t>
        </is>
      </c>
      <c r="E15" s="232" t="inlineStr">
        <is>
          <t>2, 4</t>
        </is>
      </c>
    </row>
  </sheetData>
  <autoFilter ref="A1:E1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475569"/>
    <outlinePr summaryBelow="1" summaryRight="1"/>
    <pageSetUpPr fitToPage="0"/>
  </sheetPr>
  <dimension ref="A1:A4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0" customWidth="1" style="106" min="1" max="1"/>
  </cols>
  <sheetData>
    <row r="1" ht="27.75" customHeight="1" s="107">
      <c r="A1" s="233" t="inlineStr">
        <is>
          <t>WORKSHOP TIMETABLE v4 — AUTO-UPDATING GUIDE</t>
        </is>
      </c>
    </row>
    <row r="2" ht="19.5" customHeight="1" s="107">
      <c r="A2" s="234" t="n"/>
    </row>
    <row r="3" ht="27.75" customHeight="1" s="107">
      <c r="A3" s="235" t="inlineStr">
        <is>
          <t>HOW IT WORKS</t>
        </is>
      </c>
    </row>
    <row r="4" ht="36" customHeight="1" s="107">
      <c r="A4" s="236" t="inlineStr">
        <is>
          <t>The Day 1–5 sheets pull session data live from the SessionDB sheet using INDEX/MATCH array formulas.</t>
        </is>
      </c>
    </row>
    <row r="5" ht="36" customHeight="1" s="107">
      <c r="A5" s="236" t="inlineStr">
        <is>
          <t>When you edit SessionDB (title, speaker, room, time, track), the Day sheets update instantly.</t>
        </is>
      </c>
    </row>
    <row r="6" ht="19.5" customHeight="1" s="107">
      <c r="A6" s="234" t="n"/>
    </row>
    <row r="7" ht="27.75" customHeight="1" s="107">
      <c r="A7" s="237" t="inlineStr">
        <is>
          <t>EXCEL VERSION COMPATIBILITY</t>
        </is>
      </c>
    </row>
    <row r="8" ht="19.5" customHeight="1" s="107">
      <c r="A8" s="238" t="inlineStr">
        <is>
          <t>Excel 365 / Excel 2021: Formulas work automatically. No extra steps needed.</t>
        </is>
      </c>
    </row>
    <row r="9" ht="48" customHeight="1" s="107">
      <c r="A9" s="236" t="inlineStr">
        <is>
          <t>Excel 2019 / 2016: You must activate array formulas manually. Select all formula cells (B4:E23 on any Day sheet), press F2, then press Ctrl+Shift+Enter. You will see curly braces {} around the formula in the formula bar. You only need to do this once per sheet.</t>
        </is>
      </c>
    </row>
    <row r="10" ht="36" customHeight="1" s="107">
      <c r="A10" s="239" t="inlineStr">
        <is>
          <t>Excel Online / SharePoint: Array formulas with MATCH(1,...,0) may not calculate. Use the VBA macro approach instead (see below).</t>
        </is>
      </c>
    </row>
    <row r="11" ht="19.5" customHeight="1" s="107">
      <c r="A11" s="234" t="n"/>
    </row>
    <row r="12" ht="27.75" customHeight="1" s="107">
      <c r="A12" s="240" t="inlineStr">
        <is>
          <t>HOW TO EDIT SESSIONS</t>
        </is>
      </c>
    </row>
    <row r="13" ht="19.5" customHeight="1" s="107">
      <c r="A13" s="234" t="inlineStr">
        <is>
          <t>1. Go to SessionDB sheet.</t>
        </is>
      </c>
    </row>
    <row r="14" ht="19.5" customHeight="1" s="107">
      <c r="A14" s="234" t="inlineStr">
        <is>
          <t>2. Edit any value: title, speaker, room, start time, end time, track.</t>
        </is>
      </c>
    </row>
    <row r="15" ht="19.5" customHeight="1" s="107">
      <c r="A15" s="234" t="inlineStr">
        <is>
          <t>3. Switch to the Day sheet — the change is already there.</t>
        </is>
      </c>
    </row>
    <row r="16" ht="36" customHeight="1" s="107">
      <c r="A16" s="234" t="inlineStr">
        <is>
          <t>4. To ADD a session: insert a row, fill Day (number 1–5), Start/End (text like 09:00), Title, Speaker, Room, Type, Track.</t>
        </is>
      </c>
    </row>
    <row r="17" ht="19.5" customHeight="1" s="107">
      <c r="A17" s="234" t="inlineStr">
        <is>
          <t>5. To REMOVE: delete the row from SessionDB.</t>
        </is>
      </c>
    </row>
    <row r="18" ht="36" customHeight="1" s="107">
      <c r="A18" s="234" t="inlineStr">
        <is>
          <t>6. To MOVE to a different time or track: change the Start, End, or Track columns.</t>
        </is>
      </c>
    </row>
    <row r="19" ht="19.5" customHeight="1" s="107">
      <c r="A19" s="234" t="n"/>
    </row>
    <row r="20" ht="27.75" customHeight="1" s="107">
      <c r="A20" s="241" t="inlineStr">
        <is>
          <t>DATA FORMAT RULES</t>
        </is>
      </c>
    </row>
    <row r="21" ht="48" customHeight="1" s="107">
      <c r="A21" s="234" t="inlineStr">
        <is>
          <t>Times MUST be text: type a leading apostrophe before the time, like '09:00. If Excel converts it to a time number, the formulas break. To fix: select the column → Format Cells → Text, then retype the times.</t>
        </is>
      </c>
    </row>
    <row r="22" ht="36" customHeight="1" s="107">
      <c r="A22" s="234" t="inlineStr">
        <is>
          <t>Track (column I) must exactly match: Leadership, Technical, Design Thinking, Operations, or all.</t>
        </is>
      </c>
    </row>
    <row r="23" ht="36" customHeight="1" s="107">
      <c r="A23" s="234" t="inlineStr">
        <is>
          <t>Type (column H) must exactly match: Leadership, Technical, Design Thinking, Operations, Keynote, or Break.</t>
        </is>
      </c>
    </row>
    <row r="24" ht="19.5" customHeight="1" s="107">
      <c r="A24" s="234" t="n"/>
    </row>
    <row r="25" ht="27.75" customHeight="1" s="107">
      <c r="A25" s="240" t="inlineStr">
        <is>
          <t>VBA MACRO ALTERNATIVE (RECOMMENDED FOR VISUAL OUTPUT)</t>
        </is>
      </c>
    </row>
    <row r="26" ht="36" customHeight="1" s="107">
      <c r="A26" s="234" t="inlineStr">
        <is>
          <t>For merged-cell visual timetables (like the original static version), use the VBA macro.</t>
        </is>
      </c>
    </row>
    <row r="27" ht="19.5" customHeight="1" s="107">
      <c r="A27" s="234" t="inlineStr">
        <is>
          <t>1. Save As → .xlsm (Macro-Enabled Workbook).</t>
        </is>
      </c>
    </row>
    <row r="28" ht="36" customHeight="1" s="107">
      <c r="A28" s="234" t="inlineStr">
        <is>
          <t>2. Press Alt+F11 → Insert → Module → paste the macro code from workshop-refresh-macro.bas.</t>
        </is>
      </c>
    </row>
    <row r="29" ht="19.5" customHeight="1" s="107">
      <c r="A29" s="234" t="inlineStr">
        <is>
          <t>3. Press Alt+F8 → RefreshAllDays → Run.</t>
        </is>
      </c>
    </row>
    <row r="30" ht="19.5" customHeight="1" s="107">
      <c r="A30" s="234" t="inlineStr">
        <is>
          <t>4. All Day sheets rebuild with merged cells, color borders, and full formatting.</t>
        </is>
      </c>
    </row>
    <row r="31" ht="36" customHeight="1" s="107">
      <c r="A31" s="242" t="inlineStr">
        <is>
          <t>NOTE: Rename the SessionDB tab back to 'Session Database' if using the VBA macro (the macro references that name).</t>
        </is>
      </c>
    </row>
    <row r="32" ht="19.5" customHeight="1" s="107">
      <c r="A32" s="234" t="n"/>
    </row>
    <row r="33" ht="27.75" customHeight="1" s="107">
      <c r="A33" s="240" t="inlineStr">
        <is>
          <t>UNDERSTANDING THE DAY SHEET DISPLAY</t>
        </is>
      </c>
    </row>
    <row r="34" ht="19.5" customHeight="1" s="107">
      <c r="A34" s="234" t="inlineStr">
        <is>
          <t>Session starts at this time → Shows: Title + Speaker • Room</t>
        </is>
      </c>
    </row>
    <row r="35" ht="19.5" customHeight="1" s="107">
      <c r="A35" s="234" t="inlineStr">
        <is>
          <t>Session ongoing (started earlier) → Shows: ↓ Title (continuation marker)</t>
        </is>
      </c>
    </row>
    <row r="36" ht="19.5" customHeight="1" s="107">
      <c r="A36" s="234" t="inlineStr">
        <is>
          <t>No session → Cell is blank</t>
        </is>
      </c>
    </row>
    <row r="37" ht="19.5" customHeight="1" s="107">
      <c r="A37" s="234" t="inlineStr">
        <is>
          <t>Colors are automatic via conditional formatting based on the session Type.</t>
        </is>
      </c>
    </row>
    <row r="38" ht="19.5" customHeight="1" s="107">
      <c r="A38" s="234" t="n"/>
    </row>
    <row r="39" ht="27.75" customHeight="1" s="107">
      <c r="A39" s="241" t="inlineStr">
        <is>
          <t>TROUBLESHOOTING BLANK CELLS</t>
        </is>
      </c>
    </row>
    <row r="40" ht="19.5" customHeight="1" s="107">
      <c r="A40" s="234" t="inlineStr">
        <is>
          <t>If Day sheets show blank cells:</t>
        </is>
      </c>
    </row>
    <row r="41" ht="36" customHeight="1" s="107">
      <c r="A41" s="234" t="inlineStr">
        <is>
          <t>1. Check that times in SessionDB column C and D are TEXT, not time-formatted numbers. The formula bar should show 09:00 not 0.375.</t>
        </is>
      </c>
    </row>
    <row r="42" ht="36" customHeight="1" s="107">
      <c r="A42" s="234" t="inlineStr">
        <is>
          <t>2. In Excel 2019 or earlier: select B4:E23 → F2 → Ctrl+Shift+Enter to array-enter.</t>
        </is>
      </c>
    </row>
    <row r="43" ht="19.5" customHeight="1" s="107">
      <c r="A43" s="234" t="inlineStr">
        <is>
          <t>3. Verify Track names match exactly (case-sensitive in some formulas).</t>
        </is>
      </c>
    </row>
    <row r="44" ht="36" customHeight="1" s="107">
      <c r="A44" s="234" t="inlineStr">
        <is>
          <t>4. If nothing works: use the VBA macro approach — it bypasses all formula issues.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2026-03-08T11:41:36Z</dcterms:created>
  <dcterms:modified xmlns:dcterms="http://purl.org/dc/terms/" xmlns:xsi="http://www.w3.org/2001/XMLSchema-instance" xsi:type="dcterms:W3CDTF">2026-03-09T12:20:20Z</dcterms:modified>
  <cp:revision>0</cp:revision>
</cp:coreProperties>
</file>