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essionDB" sheetId="1" state="visible" r:id="rId1"/>
    <sheet xmlns:r="http://schemas.openxmlformats.org/officeDocument/2006/relationships" name="ParticipantsDB" sheetId="2" state="visible" r:id="rId2"/>
    <sheet xmlns:r="http://schemas.openxmlformats.org/officeDocument/2006/relationships" name="Participants Statistics" sheetId="3" state="visible" r:id="rId3"/>
    <sheet xmlns:r="http://schemas.openxmlformats.org/officeDocument/2006/relationships" name="Room Management" sheetId="4" state="visible" r:id="rId4"/>
    <sheet xmlns:r="http://schemas.openxmlformats.org/officeDocument/2006/relationships" name="Day 1" sheetId="5" state="visible" r:id="rId5"/>
    <sheet xmlns:r="http://schemas.openxmlformats.org/officeDocument/2006/relationships" name="Day 2" sheetId="6" state="visible" r:id="rId6"/>
    <sheet xmlns:r="http://schemas.openxmlformats.org/officeDocument/2006/relationships" name="Day 3" sheetId="7" state="visible" r:id="rId7"/>
    <sheet xmlns:r="http://schemas.openxmlformats.org/officeDocument/2006/relationships" name="Day 4" sheetId="8" state="visible" r:id="rId8"/>
    <sheet xmlns:r="http://schemas.openxmlformats.org/officeDocument/2006/relationships" name="Day 5" sheetId="9" state="visible" r:id="rId9"/>
    <sheet xmlns:r="http://schemas.openxmlformats.org/officeDocument/2006/relationships" name="Speakers" sheetId="10" state="visible" r:id="rId10"/>
    <sheet xmlns:r="http://schemas.openxmlformats.org/officeDocument/2006/relationships" name="How To Use" sheetId="11" state="visible" r:id="rId11"/>
  </sheets>
  <definedNames>
    <definedName name="TrackList" hidden="0" function="0" vbProcedure="0">OFFSET(SessionDB!$R$2,0,0,COUNTA(SessionDB!$R$2:$R$50),1)</definedName>
    <definedName name="_xlnm._FilterDatabase" localSheetId="0" hidden="1">'SessionDB'!$A$1:$K$64</definedName>
    <definedName name="_xlnm._FilterDatabase" localSheetId="1" hidden="1">'ParticipantsDB'!$A$1:$P$21</definedName>
    <definedName name="_xlnm._FilterDatabase" localSheetId="9" hidden="1">'Speakers'!$A$1:$E$15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5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1E293B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b val="1"/>
      <color rgb="FF1E40AF"/>
      <sz val="10"/>
    </font>
    <font>
      <name val="Arial"/>
      <charset val="1"/>
      <family val="0"/>
      <b val="1"/>
      <color rgb="FF166534"/>
      <sz val="10"/>
    </font>
    <font>
      <name val="Arial"/>
      <charset val="1"/>
      <family val="0"/>
      <b val="1"/>
      <color rgb="FF5B21B6"/>
      <sz val="10"/>
    </font>
    <font>
      <name val="Arial"/>
      <charset val="1"/>
      <family val="0"/>
      <b val="1"/>
      <color rgb="FF9A3412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065F46"/>
      <sz val="10"/>
    </font>
    <font>
      <name val="Arial"/>
      <charset val="1"/>
      <family val="0"/>
      <b val="1"/>
      <color rgb="FF991B1B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1E293B"/>
      <sz val="10"/>
    </font>
    <font>
      <name val="Arial"/>
      <charset val="1"/>
      <family val="0"/>
      <b val="1"/>
      <color rgb="FF1B3A5F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FFFFFF"/>
      <sz val="8"/>
    </font>
    <font>
      <name val="Arial"/>
      <charset val="1"/>
      <family val="0"/>
      <b val="1"/>
      <color rgb="FF166534"/>
      <sz val="8"/>
    </font>
    <font>
      <name val="Arial"/>
      <charset val="1"/>
      <family val="0"/>
      <b val="1"/>
      <color rgb="FF9A3412"/>
      <sz val="8"/>
    </font>
    <font>
      <name val="Arial"/>
      <charset val="1"/>
      <family val="0"/>
      <b val="1"/>
      <color rgb="FF1E293B"/>
      <sz val="9"/>
    </font>
    <font>
      <name val="Arial"/>
      <charset val="1"/>
      <family val="0"/>
      <b val="1"/>
      <color rgb="FF64748B"/>
      <sz val="9"/>
    </font>
    <font>
      <name val="Arial"/>
      <charset val="1"/>
      <family val="0"/>
      <color rgb="FF1E293B"/>
      <sz val="8"/>
    </font>
    <font>
      <name val="Arial"/>
      <charset val="1"/>
      <family val="0"/>
      <color rgb="FF64748B"/>
      <sz val="9"/>
    </font>
    <font>
      <name val="Arial"/>
      <charset val="1"/>
      <family val="0"/>
      <b val="1"/>
      <color rgb="FF1E40AF"/>
      <sz val="8"/>
    </font>
    <font>
      <name val="Arial"/>
      <charset val="1"/>
      <family val="0"/>
      <color rgb="FF1E40AF"/>
      <sz val="8"/>
    </font>
    <font>
      <name val="Arial"/>
      <charset val="1"/>
      <family val="0"/>
      <i val="1"/>
      <color rgb="FF64748B"/>
      <sz val="10"/>
    </font>
    <font>
      <name val="Cambria"/>
      <charset val="1"/>
      <family val="0"/>
      <sz val="11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92400E"/>
      <sz val="11"/>
    </font>
    <font>
      <name val="Arial"/>
      <charset val="1"/>
      <family val="0"/>
      <b val="1"/>
      <color rgb="FF64748B"/>
      <sz val="11"/>
    </font>
    <font>
      <name val="Arial"/>
      <charset val="1"/>
      <family val="0"/>
      <b val="1"/>
      <color rgb="FF1B3A5F"/>
      <sz val="16"/>
    </font>
    <font>
      <name val="Arial"/>
      <charset val="1"/>
      <family val="0"/>
      <b val="1"/>
      <color rgb="FF1B3A5F"/>
      <sz val="14"/>
    </font>
    <font>
      <name val="Arial"/>
      <charset val="1"/>
      <family val="0"/>
      <color rgb="FF1E293B"/>
      <sz val="11"/>
    </font>
    <font>
      <name val="Arial"/>
      <charset val="1"/>
      <family val="0"/>
      <b val="1"/>
      <color rgb="FFDC2626"/>
      <sz val="14"/>
    </font>
    <font>
      <name val="Arial"/>
      <charset val="1"/>
      <family val="0"/>
      <color rgb="FF166534"/>
      <sz val="11"/>
    </font>
    <font>
      <name val="Arial"/>
      <charset val="1"/>
      <family val="0"/>
      <color rgb="FF991B1B"/>
      <sz val="11"/>
    </font>
    <font>
      <name val="Arial"/>
      <charset val="1"/>
      <family val="0"/>
      <b val="1"/>
      <color rgb="FF1B3A5F"/>
      <sz val="13"/>
    </font>
    <font>
      <name val="Arial"/>
      <charset val="1"/>
      <family val="0"/>
      <b val="1"/>
      <color rgb="FFDC2626"/>
      <sz val="13"/>
    </font>
    <font>
      <name val="Arial"/>
      <charset val="1"/>
      <family val="0"/>
      <color rgb="FF991B1B"/>
      <sz val="10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b val="1"/>
      <color rgb="00166534"/>
      <sz val="8"/>
    </font>
    <font>
      <name val="Arial"/>
      <b val="1"/>
      <color rgb="009A3412"/>
      <sz val="8"/>
    </font>
    <font>
      <name val="Arial"/>
      <b val="1"/>
      <color rgb="001E293B"/>
      <sz val="9"/>
    </font>
    <font>
      <name val="Arial"/>
      <b val="1"/>
      <color rgb="0064748B"/>
      <sz val="9"/>
    </font>
    <font>
      <name val="Arial"/>
      <color rgb="001E293B"/>
      <sz val="8"/>
    </font>
    <font>
      <name val="Arial"/>
      <color rgb="0064748B"/>
      <sz val="9"/>
    </font>
    <font>
      <name val="Arial"/>
      <i val="1"/>
      <color rgb="0064748B"/>
      <sz val="10"/>
    </font>
  </fonts>
  <fills count="27">
    <fill>
      <patternFill/>
    </fill>
    <fill>
      <patternFill patternType="gray125"/>
    </fill>
    <fill>
      <patternFill patternType="solid">
        <fgColor rgb="FF1B3A5F"/>
        <bgColor rgb="FF1E293B"/>
      </patternFill>
    </fill>
    <fill>
      <patternFill patternType="solid">
        <fgColor rgb="FFF2F4F7"/>
        <bgColor rgb="FFF1F5F9"/>
      </patternFill>
    </fill>
    <fill>
      <patternFill patternType="solid">
        <fgColor rgb="FF2563EB"/>
        <bgColor rgb="FF0066CC"/>
      </patternFill>
    </fill>
    <fill>
      <patternFill patternType="solid">
        <fgColor rgb="FFDBEAFE"/>
        <bgColor rgb="FFE2E8F0"/>
      </patternFill>
    </fill>
    <fill>
      <patternFill patternType="solid">
        <fgColor rgb="FFDCFCE7"/>
        <bgColor rgb="FFCCFBF1"/>
      </patternFill>
    </fill>
    <fill>
      <patternFill patternType="solid">
        <fgColor rgb="FFEDE9FE"/>
        <bgColor rgb="FFE2E8F0"/>
      </patternFill>
    </fill>
    <fill>
      <patternFill patternType="solid">
        <fgColor rgb="FFFFEDD5"/>
        <bgColor rgb="FFFEF3C7"/>
      </patternFill>
    </fill>
    <fill>
      <patternFill patternType="solid">
        <fgColor rgb="FFCCFBF1"/>
        <bgColor rgb="FFDCFCE7"/>
      </patternFill>
    </fill>
    <fill>
      <patternFill patternType="solid">
        <fgColor rgb="FFFEE2E2"/>
        <bgColor rgb="FFFFEDD5"/>
      </patternFill>
    </fill>
    <fill>
      <patternFill patternType="solid">
        <fgColor rgb="FFDC2626"/>
        <bgColor rgb="FF991B1B"/>
      </patternFill>
    </fill>
    <fill>
      <patternFill patternType="solid">
        <fgColor rgb="FF7C3AED"/>
        <bgColor rgb="FF5B21B6"/>
      </patternFill>
    </fill>
    <fill>
      <patternFill patternType="solid">
        <fgColor rgb="FF0D9488"/>
        <bgColor rgb="FF339966"/>
      </patternFill>
    </fill>
    <fill>
      <patternFill patternType="solid">
        <fgColor rgb="FF991B1B"/>
        <bgColor rgb="FF9A3412"/>
      </patternFill>
    </fill>
    <fill>
      <patternFill patternType="solid">
        <fgColor rgb="FF475569"/>
        <bgColor rgb="FF64748B"/>
      </patternFill>
    </fill>
    <fill>
      <patternFill patternType="solid">
        <fgColor rgb="FFFEF3C7"/>
        <bgColor rgb="FFFFEDD5"/>
      </patternFill>
    </fill>
    <fill>
      <patternFill patternType="solid">
        <fgColor rgb="FFD97706"/>
        <bgColor rgb="FFFF9900"/>
      </patternFill>
    </fill>
    <fill>
      <patternFill patternType="solid">
        <fgColor rgb="FFF1F5F9"/>
        <bgColor rgb="FFF2F4F7"/>
      </patternFill>
    </fill>
    <fill>
      <patternFill patternType="solid">
        <fgColor rgb="00991B1B"/>
      </patternFill>
    </fill>
    <fill>
      <patternFill patternType="solid">
        <fgColor rgb="00475569"/>
      </patternFill>
    </fill>
    <fill>
      <patternFill patternType="solid">
        <fgColor rgb="002563EB"/>
      </patternFill>
    </fill>
    <fill>
      <patternFill patternType="solid">
        <fgColor rgb="00DC2626"/>
      </patternFill>
    </fill>
    <fill>
      <patternFill patternType="solid">
        <fgColor rgb="00F2F4F7"/>
      </patternFill>
    </fill>
    <fill>
      <patternFill patternType="solid">
        <fgColor rgb="00DCFCE7"/>
      </patternFill>
    </fill>
    <fill>
      <patternFill patternType="solid">
        <fgColor rgb="00FFEDD5"/>
      </patternFill>
    </fill>
    <fill>
      <patternFill patternType="solid">
        <fgColor rgb="00FEF3C7"/>
      </patternFill>
    </fill>
  </fills>
  <borders count="3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 style="thin">
        <color rgb="FFD0D5DD"/>
      </right>
      <top style="medium">
        <color rgb="FF1B3A5F"/>
      </top>
      <bottom style="thin">
        <color rgb="FFD0D5DD"/>
      </bottom>
      <diagonal/>
    </border>
    <border>
      <left style="thin">
        <color rgb="FFD0D5DD"/>
      </left>
      <right style="thin">
        <color rgb="FFD0D5DD"/>
      </right>
      <top style="hair">
        <color rgb="FFE2E8F0"/>
      </top>
      <bottom style="hair">
        <color rgb="FFE2E8F0"/>
      </bottom>
      <diagonal/>
    </border>
    <border>
      <left style="medium">
        <color rgb="FFD97706"/>
      </left>
      <right style="thin">
        <color rgb="FFD97706"/>
      </right>
      <top style="medium">
        <color rgb="FFD97706"/>
      </top>
      <bottom style="hair">
        <color rgb="FFD97706"/>
      </bottom>
      <diagonal/>
    </border>
    <border>
      <left style="medium">
        <color rgb="FF2563EB"/>
      </left>
      <right style="thin">
        <color rgb="FF2563EB"/>
      </right>
      <top style="medium">
        <color rgb="FF2563EB"/>
      </top>
      <bottom style="hair">
        <color rgb="FF2563EB"/>
      </bottom>
      <diagonal/>
    </border>
    <border>
      <left style="medium">
        <color rgb="FF7C3AED"/>
      </left>
      <right style="thin">
        <color rgb="FF7C3AED"/>
      </right>
      <top style="medium">
        <color rgb="FF7C3AED"/>
      </top>
      <bottom style="hair">
        <color rgb="FF7C3AED"/>
      </bottom>
      <diagonal/>
    </border>
    <border>
      <left style="medium">
        <color rgb="FF0D9488"/>
      </left>
      <right style="thin">
        <color rgb="FF0D9488"/>
      </right>
      <top style="medium">
        <color rgb="FF0D9488"/>
      </top>
      <bottom style="hair">
        <color rgb="FF0D9488"/>
      </bottom>
      <diagonal/>
    </border>
    <border>
      <left style="medium">
        <color rgb="FFDC2626"/>
      </left>
      <right style="thin">
        <color rgb="FFDC2626"/>
      </right>
      <top style="medium">
        <color rgb="FFDC2626"/>
      </top>
      <bottom style="hair">
        <color rgb="FFDC2626"/>
      </bottom>
      <diagonal/>
    </border>
    <border>
      <left style="medium">
        <color rgb="FF94A3B8"/>
      </left>
      <right style="thin">
        <color rgb="FF94A3B8"/>
      </right>
      <top style="medium">
        <color rgb="FF94A3B8"/>
      </top>
      <bottom style="hair">
        <color rgb="FF94A3B8"/>
      </bottom>
      <diagonal/>
    </border>
    <border>
      <left style="medium">
        <color rgb="FF94A3B8"/>
      </left>
      <right style="thin">
        <color rgb="FF94A3B8"/>
      </right>
      <top style="medium">
        <color rgb="FF94A3B8"/>
      </top>
      <bottom style="medium">
        <color rgb="FF94A3B8"/>
      </bottom>
      <diagonal/>
    </border>
    <border>
      <left style="medium">
        <color rgb="FFD97706"/>
      </left>
      <right/>
      <top/>
      <bottom/>
      <diagonal/>
    </border>
    <border>
      <left style="medium">
        <color rgb="FFD97706"/>
      </left>
      <right style="thin">
        <color rgb="FFD97706"/>
      </right>
      <top/>
      <bottom/>
      <diagonal/>
    </border>
    <border>
      <left style="medium">
        <color rgb="FFD97706"/>
      </left>
      <right style="thin">
        <color rgb="FFD97706"/>
      </right>
      <top/>
      <bottom style="hair">
        <color rgb="FFD97706"/>
      </bottom>
      <diagonal/>
    </border>
    <border>
      <left style="medium">
        <color rgb="FF2563EB"/>
      </left>
      <right/>
      <top/>
      <bottom/>
      <diagonal/>
    </border>
    <border>
      <left style="medium">
        <color rgb="FF2563EB"/>
      </left>
      <right style="thin">
        <color rgb="FF2563EB"/>
      </right>
      <top/>
      <bottom/>
      <diagonal/>
    </border>
    <border>
      <left style="medium">
        <color rgb="FF2563EB"/>
      </left>
      <right style="thin">
        <color rgb="FF2563EB"/>
      </right>
      <top/>
      <bottom style="hair">
        <color rgb="FF2563EB"/>
      </bottom>
      <diagonal/>
    </border>
    <border>
      <left style="medium">
        <color rgb="FF7C3AED"/>
      </left>
      <right/>
      <top/>
      <bottom/>
      <diagonal/>
    </border>
    <border>
      <left style="medium">
        <color rgb="FF7C3AED"/>
      </left>
      <right style="thin">
        <color rgb="FF7C3AED"/>
      </right>
      <top/>
      <bottom/>
      <diagonal/>
    </border>
    <border>
      <left style="medium">
        <color rgb="FF7C3AED"/>
      </left>
      <right style="thin">
        <color rgb="FF7C3AED"/>
      </right>
      <top/>
      <bottom style="hair">
        <color rgb="FF7C3AED"/>
      </bottom>
      <diagonal/>
    </border>
    <border>
      <left style="medium">
        <color rgb="FF0D9488"/>
      </left>
      <right/>
      <top/>
      <bottom/>
      <diagonal/>
    </border>
    <border>
      <left style="medium">
        <color rgb="FF0D9488"/>
      </left>
      <right style="thin">
        <color rgb="FF0D9488"/>
      </right>
      <top/>
      <bottom/>
      <diagonal/>
    </border>
    <border>
      <left style="medium">
        <color rgb="FF0D9488"/>
      </left>
      <right style="thin">
        <color rgb="FF0D9488"/>
      </right>
      <top/>
      <bottom style="hair">
        <color rgb="FF0D9488"/>
      </bottom>
      <diagonal/>
    </border>
    <border>
      <left style="medium">
        <color rgb="FFDC2626"/>
      </left>
      <right/>
      <top/>
      <bottom/>
      <diagonal/>
    </border>
    <border>
      <left style="medium">
        <color rgb="FFDC2626"/>
      </left>
      <right style="thin">
        <color rgb="FFDC2626"/>
      </right>
      <top/>
      <bottom/>
      <diagonal/>
    </border>
    <border>
      <left style="medium">
        <color rgb="FFDC2626"/>
      </left>
      <right style="thin">
        <color rgb="FFDC2626"/>
      </right>
      <top/>
      <bottom style="hair">
        <color rgb="FFDC2626"/>
      </bottom>
      <diagonal/>
    </border>
    <border>
      <left style="medium">
        <color rgb="FF94A3B8"/>
      </left>
      <right/>
      <top/>
      <bottom/>
      <diagonal/>
    </border>
    <border>
      <left style="medium">
        <color rgb="FF94A3B8"/>
      </left>
      <right style="thin">
        <color rgb="FF94A3B8"/>
      </right>
      <top/>
      <bottom/>
      <diagonal/>
    </border>
    <border>
      <left style="medium">
        <color rgb="FF94A3B8"/>
      </left>
      <right style="thin">
        <color rgb="FF94A3B8"/>
      </right>
      <top/>
      <bottom style="hair">
        <color rgb="FF94A3B8"/>
      </bottom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 style="thin">
        <color rgb="00D0D5DD"/>
      </left>
      <right style="thin">
        <color rgb="00D0D5DD"/>
      </right>
      <top style="medium">
        <color rgb="001B3A5F"/>
      </top>
      <bottom style="thin">
        <color rgb="00D0D5DD"/>
      </bottom>
    </border>
    <border>
      <left style="thin">
        <color rgb="00D0D5DD"/>
      </left>
      <right style="thin">
        <color rgb="00D0D5DD"/>
      </right>
      <top style="hair">
        <color rgb="00E2E8F0"/>
      </top>
      <bottom style="hair">
        <color rgb="00E2E8F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49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12" fillId="9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left" vertical="center"/>
    </xf>
    <xf numFmtId="0" fontId="13" fillId="10" borderId="1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 indent="1"/>
    </xf>
    <xf numFmtId="0" fontId="15" fillId="11" borderId="0" applyAlignment="1" pivotButton="0" quotePrefix="0" xfId="0">
      <alignment horizontal="left" vertical="center" indent="1"/>
    </xf>
    <xf numFmtId="0" fontId="16" fillId="3" borderId="1" applyAlignment="1" pivotButton="0" quotePrefix="0" xfId="0">
      <alignment horizontal="general" vertical="center"/>
    </xf>
    <xf numFmtId="1" fontId="17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general" vertical="center"/>
    </xf>
    <xf numFmtId="1" fontId="17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164" fontId="17" fillId="0" borderId="1" applyAlignment="1" pivotButton="0" quotePrefix="0" xfId="0">
      <alignment horizontal="center" vertical="center"/>
    </xf>
    <xf numFmtId="0" fontId="15" fillId="4" borderId="0" applyAlignment="1" pivotButton="0" quotePrefix="0" xfId="0">
      <alignment horizontal="left" vertical="center" indent="1"/>
    </xf>
    <xf numFmtId="165" fontId="17" fillId="0" borderId="1" applyAlignment="1" pivotButton="0" quotePrefix="0" xfId="0">
      <alignment horizontal="center" vertical="center"/>
    </xf>
    <xf numFmtId="0" fontId="15" fillId="12" borderId="0" applyAlignment="1" pivotButton="0" quotePrefix="0" xfId="0">
      <alignment horizontal="left" vertical="center" indent="1"/>
    </xf>
    <xf numFmtId="0" fontId="15" fillId="13" borderId="0" applyAlignment="1" pivotButton="0" quotePrefix="0" xfId="0">
      <alignment horizontal="left" vertical="center" indent="1"/>
    </xf>
    <xf numFmtId="0" fontId="18" fillId="14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center" wrapText="1"/>
    </xf>
    <xf numFmtId="0" fontId="19" fillId="11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general" vertical="bottom"/>
    </xf>
    <xf numFmtId="0" fontId="20" fillId="6" borderId="1" applyAlignment="1" pivotButton="0" quotePrefix="0" xfId="0">
      <alignment horizontal="center" vertical="center"/>
    </xf>
    <xf numFmtId="0" fontId="21" fillId="8" borderId="1" applyAlignment="1" pivotButton="0" quotePrefix="0" xfId="0">
      <alignment horizontal="center" vertical="center"/>
    </xf>
    <xf numFmtId="49" fontId="22" fillId="16" borderId="2" applyAlignment="1" pivotButton="0" quotePrefix="0" xfId="0">
      <alignment horizontal="center" vertical="center"/>
    </xf>
    <xf numFmtId="49" fontId="23" fillId="16" borderId="2" applyAlignment="1" pivotButton="0" quotePrefix="0" xfId="0">
      <alignment horizontal="center" vertical="center"/>
    </xf>
    <xf numFmtId="0" fontId="24" fillId="0" borderId="2" applyAlignment="1" pivotButton="0" quotePrefix="0" xfId="0">
      <alignment horizontal="center" vertical="center" wrapText="1"/>
    </xf>
    <xf numFmtId="49" fontId="22" fillId="0" borderId="1" applyAlignment="1" pivotButton="0" quotePrefix="0" xfId="0">
      <alignment horizontal="center" vertical="center"/>
    </xf>
    <xf numFmtId="49" fontId="25" fillId="0" borderId="1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 wrapText="1"/>
    </xf>
    <xf numFmtId="49" fontId="22" fillId="3" borderId="1" applyAlignment="1" pivotButton="0" quotePrefix="0" xfId="0">
      <alignment horizontal="center" vertical="center"/>
    </xf>
    <xf numFmtId="49" fontId="23" fillId="3" borderId="1" applyAlignment="1" pivotButton="0" quotePrefix="0" xfId="0">
      <alignment horizontal="center" vertical="center"/>
    </xf>
    <xf numFmtId="0" fontId="26" fillId="5" borderId="3" applyAlignment="1" pivotButton="0" quotePrefix="0" xfId="0">
      <alignment horizontal="center" vertical="center" wrapText="1"/>
    </xf>
    <xf numFmtId="0" fontId="27" fillId="5" borderId="3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bottom" wrapText="1"/>
    </xf>
    <xf numFmtId="0" fontId="29" fillId="0" borderId="0" applyAlignment="1" pivotButton="0" quotePrefix="0" xfId="0">
      <alignment horizontal="general" vertical="bottom"/>
    </xf>
    <xf numFmtId="0" fontId="28" fillId="3" borderId="0" applyAlignment="1" pivotButton="0" quotePrefix="0" xfId="0">
      <alignment horizontal="center" vertical="center"/>
    </xf>
    <xf numFmtId="0" fontId="30" fillId="15" borderId="0" applyAlignment="1" pivotButton="0" quotePrefix="0" xfId="0">
      <alignment horizontal="center" vertical="center"/>
    </xf>
    <xf numFmtId="0" fontId="4" fillId="17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12" borderId="0" applyAlignment="1" pivotButton="0" quotePrefix="0" xfId="0">
      <alignment horizontal="center" vertical="center"/>
    </xf>
    <xf numFmtId="0" fontId="4" fillId="13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/>
    </xf>
    <xf numFmtId="49" fontId="23" fillId="3" borderId="0" applyAlignment="1" pivotButton="0" quotePrefix="0" xfId="0">
      <alignment horizontal="center" vertical="center"/>
    </xf>
    <xf numFmtId="0" fontId="29" fillId="0" borderId="3" applyAlignment="1" pivotButton="0" quotePrefix="0" xfId="0">
      <alignment horizontal="general" vertical="bottom"/>
    </xf>
    <xf numFmtId="49" fontId="25" fillId="3" borderId="0" applyAlignment="1" pivotButton="0" quotePrefix="0" xfId="0">
      <alignment horizontal="center" vertical="center"/>
    </xf>
    <xf numFmtId="0" fontId="31" fillId="16" borderId="4" applyAlignment="1" pivotButton="0" quotePrefix="0" xfId="0">
      <alignment horizontal="center" vertical="center" wrapText="1"/>
    </xf>
    <xf numFmtId="0" fontId="7" fillId="5" borderId="5" applyAlignment="1" pivotButton="0" quotePrefix="0" xfId="0">
      <alignment horizontal="left" vertical="top" wrapText="1" indent="1"/>
    </xf>
    <xf numFmtId="0" fontId="9" fillId="7" borderId="6" applyAlignment="1" pivotButton="0" quotePrefix="0" xfId="0">
      <alignment horizontal="left" vertical="top" wrapText="1" indent="1"/>
    </xf>
    <xf numFmtId="0" fontId="12" fillId="9" borderId="7" applyAlignment="1" pivotButton="0" quotePrefix="0" xfId="0">
      <alignment horizontal="left" vertical="top" wrapText="1" indent="1"/>
    </xf>
    <xf numFmtId="0" fontId="13" fillId="10" borderId="8" applyAlignment="1" pivotButton="0" quotePrefix="0" xfId="0">
      <alignment horizontal="left" vertical="top" wrapText="1" indent="1"/>
    </xf>
    <xf numFmtId="0" fontId="32" fillId="18" borderId="9" applyAlignment="1" pivotButton="0" quotePrefix="0" xfId="0">
      <alignment horizontal="center" vertical="center" wrapText="1"/>
    </xf>
    <xf numFmtId="0" fontId="32" fillId="18" borderId="10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bottom"/>
    </xf>
    <xf numFmtId="0" fontId="4" fillId="1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general" vertical="center"/>
    </xf>
    <xf numFmtId="0" fontId="5" fillId="3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center"/>
    </xf>
    <xf numFmtId="0" fontId="5" fillId="0" borderId="1" applyAlignment="1" pivotButton="0" quotePrefix="0" xfId="0">
      <alignment horizontal="general" vertical="center" wrapText="1"/>
    </xf>
    <xf numFmtId="0" fontId="33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center" wrapText="1"/>
    </xf>
    <xf numFmtId="0" fontId="34" fillId="0" borderId="0" applyAlignment="1" pivotButton="0" quotePrefix="0" xfId="0">
      <alignment horizontal="general" vertical="center" wrapText="1"/>
    </xf>
    <xf numFmtId="0" fontId="35" fillId="0" borderId="0" applyAlignment="1" pivotButton="0" quotePrefix="0" xfId="0">
      <alignment horizontal="general" vertical="center" wrapText="1"/>
    </xf>
    <xf numFmtId="0" fontId="36" fillId="0" borderId="0" applyAlignment="1" pivotButton="0" quotePrefix="0" xfId="0">
      <alignment horizontal="general" vertical="center" wrapText="1"/>
    </xf>
    <xf numFmtId="0" fontId="37" fillId="0" borderId="0" applyAlignment="1" pivotButton="0" quotePrefix="0" xfId="0">
      <alignment horizontal="general" vertical="center" wrapText="1"/>
    </xf>
    <xf numFmtId="0" fontId="38" fillId="0" borderId="0" applyAlignment="1" pivotButton="0" quotePrefix="0" xfId="0">
      <alignment horizontal="general" vertical="center" wrapText="1"/>
    </xf>
    <xf numFmtId="0" fontId="39" fillId="0" borderId="0" applyAlignment="1" pivotButton="0" quotePrefix="0" xfId="0">
      <alignment horizontal="general" vertical="center" wrapText="1"/>
    </xf>
    <xf numFmtId="0" fontId="40" fillId="0" borderId="0" applyAlignment="1" pivotButton="0" quotePrefix="0" xfId="0">
      <alignment horizontal="general" vertical="center" wrapText="1"/>
    </xf>
    <xf numFmtId="0" fontId="41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49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12" fillId="9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left" vertical="center"/>
    </xf>
    <xf numFmtId="0" fontId="13" fillId="10" borderId="1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 indent="1"/>
    </xf>
    <xf numFmtId="0" fontId="15" fillId="11" borderId="0" applyAlignment="1" pivotButton="0" quotePrefix="0" xfId="0">
      <alignment horizontal="left" vertical="center" indent="1"/>
    </xf>
    <xf numFmtId="0" fontId="16" fillId="3" borderId="1" applyAlignment="1" pivotButton="0" quotePrefix="0" xfId="0">
      <alignment horizontal="general" vertical="center"/>
    </xf>
    <xf numFmtId="1" fontId="17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general" vertical="center"/>
    </xf>
    <xf numFmtId="1" fontId="17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164" fontId="17" fillId="0" borderId="1" applyAlignment="1" pivotButton="0" quotePrefix="0" xfId="0">
      <alignment horizontal="center" vertical="center"/>
    </xf>
    <xf numFmtId="0" fontId="15" fillId="4" borderId="0" applyAlignment="1" pivotButton="0" quotePrefix="0" xfId="0">
      <alignment horizontal="left" vertical="center" indent="1"/>
    </xf>
    <xf numFmtId="165" fontId="17" fillId="0" borderId="1" applyAlignment="1" pivotButton="0" quotePrefix="0" xfId="0">
      <alignment horizontal="center" vertical="center"/>
    </xf>
    <xf numFmtId="0" fontId="15" fillId="12" borderId="0" applyAlignment="1" pivotButton="0" quotePrefix="0" xfId="0">
      <alignment horizontal="left" vertical="center" indent="1"/>
    </xf>
    <xf numFmtId="0" fontId="15" fillId="13" borderId="0" applyAlignment="1" pivotButton="0" quotePrefix="0" xfId="0">
      <alignment horizontal="left" vertical="center" indent="1"/>
    </xf>
    <xf numFmtId="0" fontId="42" fillId="19" borderId="0" applyAlignment="1" pivotButton="0" quotePrefix="0" xfId="0">
      <alignment horizontal="center" vertical="center"/>
    </xf>
    <xf numFmtId="0" fontId="0" fillId="19" borderId="0" pivotButton="0" quotePrefix="0" xfId="0"/>
    <xf numFmtId="0" fontId="43" fillId="20" borderId="29" applyAlignment="1" pivotButton="0" quotePrefix="0" xfId="0">
      <alignment horizontal="center" vertical="center"/>
    </xf>
    <xf numFmtId="0" fontId="44" fillId="21" borderId="29" applyAlignment="1" pivotButton="0" quotePrefix="0" xfId="0">
      <alignment horizontal="center" vertical="center" wrapText="1"/>
    </xf>
    <xf numFmtId="0" fontId="44" fillId="22" borderId="29" applyAlignment="1" pivotButton="0" quotePrefix="0" xfId="0">
      <alignment horizontal="center" vertical="center" wrapText="1"/>
    </xf>
    <xf numFmtId="0" fontId="0" fillId="23" borderId="29" pivotButton="0" quotePrefix="0" xfId="0"/>
    <xf numFmtId="0" fontId="45" fillId="24" borderId="29" applyAlignment="1" pivotButton="0" quotePrefix="0" xfId="0">
      <alignment horizontal="center" vertical="center"/>
    </xf>
    <xf numFmtId="0" fontId="46" fillId="25" borderId="29" applyAlignment="1" pivotButton="0" quotePrefix="0" xfId="0">
      <alignment horizontal="center" vertical="center"/>
    </xf>
    <xf numFmtId="49" fontId="47" fillId="26" borderId="30" applyAlignment="1" pivotButton="0" quotePrefix="0" xfId="0">
      <alignment horizontal="center" vertical="center"/>
    </xf>
    <xf numFmtId="49" fontId="48" fillId="26" borderId="30" applyAlignment="1" pivotButton="0" quotePrefix="0" xfId="0">
      <alignment horizontal="center" vertical="center"/>
    </xf>
    <xf numFmtId="0" fontId="49" fillId="0" borderId="30" applyAlignment="1" pivotButton="0" quotePrefix="0" xfId="0">
      <alignment horizontal="center" vertical="center" wrapText="1"/>
    </xf>
    <xf numFmtId="49" fontId="47" fillId="0" borderId="29" applyAlignment="1" pivotButton="0" quotePrefix="0" xfId="0">
      <alignment horizontal="center" vertical="center"/>
    </xf>
    <xf numFmtId="49" fontId="50" fillId="0" borderId="29" applyAlignment="1" pivotButton="0" quotePrefix="0" xfId="0">
      <alignment horizontal="center" vertical="center"/>
    </xf>
    <xf numFmtId="0" fontId="49" fillId="0" borderId="31" applyAlignment="1" pivotButton="0" quotePrefix="0" xfId="0">
      <alignment horizontal="center" vertical="center" wrapText="1"/>
    </xf>
    <xf numFmtId="49" fontId="47" fillId="23" borderId="29" applyAlignment="1" pivotButton="0" quotePrefix="0" xfId="0">
      <alignment horizontal="center" vertical="center"/>
    </xf>
    <xf numFmtId="49" fontId="48" fillId="23" borderId="29" applyAlignment="1" pivotButton="0" quotePrefix="0" xfId="0">
      <alignment horizontal="center" vertical="center"/>
    </xf>
    <xf numFmtId="0" fontId="51" fillId="0" borderId="0" applyAlignment="1" pivotButton="0" quotePrefix="0" xfId="0">
      <alignment horizontal="center" wrapText="1"/>
    </xf>
    <xf numFmtId="0" fontId="29" fillId="0" borderId="0" applyAlignment="1" pivotButton="0" quotePrefix="0" xfId="0">
      <alignment horizontal="general" vertical="bottom"/>
    </xf>
    <xf numFmtId="0" fontId="28" fillId="3" borderId="0" applyAlignment="1" pivotButton="0" quotePrefix="0" xfId="0">
      <alignment horizontal="center" vertical="center"/>
    </xf>
    <xf numFmtId="0" fontId="30" fillId="15" borderId="0" applyAlignment="1" pivotButton="0" quotePrefix="0" xfId="0">
      <alignment horizontal="center" vertical="center"/>
    </xf>
    <xf numFmtId="0" fontId="4" fillId="17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12" borderId="0" applyAlignment="1" pivotButton="0" quotePrefix="0" xfId="0">
      <alignment horizontal="center" vertical="center"/>
    </xf>
    <xf numFmtId="0" fontId="4" fillId="13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/>
    </xf>
    <xf numFmtId="49" fontId="23" fillId="3" borderId="0" applyAlignment="1" pivotButton="0" quotePrefix="0" xfId="0">
      <alignment horizontal="center" vertical="center"/>
    </xf>
    <xf numFmtId="0" fontId="29" fillId="0" borderId="3" applyAlignment="1" pivotButton="0" quotePrefix="0" xfId="0">
      <alignment horizontal="general" vertical="bottom"/>
    </xf>
    <xf numFmtId="49" fontId="25" fillId="3" borderId="0" applyAlignment="1" pivotButton="0" quotePrefix="0" xfId="0">
      <alignment horizontal="center" vertical="center"/>
    </xf>
    <xf numFmtId="0" fontId="31" fillId="16" borderId="4" applyAlignment="1" pivotButton="0" quotePrefix="0" xfId="0">
      <alignment horizontal="center" vertical="center" wrapText="1"/>
    </xf>
    <xf numFmtId="0" fontId="0" fillId="0" borderId="13" pivotButton="0" quotePrefix="0" xfId="0"/>
    <xf numFmtId="0" fontId="7" fillId="5" borderId="5" applyAlignment="1" pivotButton="0" quotePrefix="0" xfId="0">
      <alignment horizontal="left" vertical="top" wrapText="1" indent="1"/>
    </xf>
    <xf numFmtId="0" fontId="9" fillId="7" borderId="6" applyAlignment="1" pivotButton="0" quotePrefix="0" xfId="0">
      <alignment horizontal="left" vertical="top" wrapText="1" indent="1"/>
    </xf>
    <xf numFmtId="0" fontId="12" fillId="9" borderId="7" applyAlignment="1" pivotButton="0" quotePrefix="0" xfId="0">
      <alignment horizontal="left" vertical="top" wrapText="1" indent="1"/>
    </xf>
    <xf numFmtId="0" fontId="13" fillId="10" borderId="8" applyAlignment="1" pivotButton="0" quotePrefix="0" xfId="0">
      <alignment horizontal="left" vertical="top" wrapText="1" indent="1"/>
    </xf>
    <xf numFmtId="0" fontId="0" fillId="0" borderId="15" pivotButton="0" quotePrefix="0" xfId="0"/>
    <xf numFmtId="0" fontId="0" fillId="0" borderId="18" pivotButton="0" quotePrefix="0" xfId="0"/>
    <xf numFmtId="0" fontId="0" fillId="0" borderId="21" pivotButton="0" quotePrefix="0" xfId="0"/>
    <xf numFmtId="0" fontId="0" fillId="0" borderId="24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25" pivotButton="0" quotePrefix="0" xfId="0"/>
    <xf numFmtId="0" fontId="32" fillId="18" borderId="9" applyAlignment="1" pivotButton="0" quotePrefix="0" xfId="0">
      <alignment horizontal="center" vertical="center" wrapText="1"/>
    </xf>
    <xf numFmtId="0" fontId="0" fillId="0" borderId="28" pivotButton="0" quotePrefix="0" xfId="0"/>
    <xf numFmtId="0" fontId="32" fillId="18" borderId="10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bottom"/>
    </xf>
    <xf numFmtId="0" fontId="0" fillId="0" borderId="12" pivotButton="0" quotePrefix="0" xfId="0"/>
    <xf numFmtId="0" fontId="4" fillId="1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general" vertical="center"/>
    </xf>
    <xf numFmtId="0" fontId="5" fillId="3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center"/>
    </xf>
    <xf numFmtId="0" fontId="5" fillId="0" borderId="1" applyAlignment="1" pivotButton="0" quotePrefix="0" xfId="0">
      <alignment horizontal="general" vertical="center" wrapText="1"/>
    </xf>
    <xf numFmtId="0" fontId="33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center" wrapText="1"/>
    </xf>
    <xf numFmtId="0" fontId="34" fillId="0" borderId="0" applyAlignment="1" pivotButton="0" quotePrefix="0" xfId="0">
      <alignment horizontal="general" vertical="center" wrapText="1"/>
    </xf>
    <xf numFmtId="0" fontId="35" fillId="0" borderId="0" applyAlignment="1" pivotButton="0" quotePrefix="0" xfId="0">
      <alignment horizontal="general" vertical="center" wrapText="1"/>
    </xf>
    <xf numFmtId="0" fontId="36" fillId="0" borderId="0" applyAlignment="1" pivotButton="0" quotePrefix="0" xfId="0">
      <alignment horizontal="general" vertical="center" wrapText="1"/>
    </xf>
    <xf numFmtId="0" fontId="37" fillId="0" borderId="0" applyAlignment="1" pivotButton="0" quotePrefix="0" xfId="0">
      <alignment horizontal="general" vertical="center" wrapText="1"/>
    </xf>
    <xf numFmtId="0" fontId="38" fillId="0" borderId="0" applyAlignment="1" pivotButton="0" quotePrefix="0" xfId="0">
      <alignment horizontal="general" vertical="center" wrapText="1"/>
    </xf>
    <xf numFmtId="0" fontId="39" fillId="0" borderId="0" applyAlignment="1" pivotButton="0" quotePrefix="0" xfId="0">
      <alignment horizontal="general" vertical="center" wrapText="1"/>
    </xf>
    <xf numFmtId="0" fontId="40" fillId="0" borderId="0" applyAlignment="1" pivotButton="0" quotePrefix="0" xfId="0">
      <alignment horizontal="general" vertical="center" wrapText="1"/>
    </xf>
    <xf numFmtId="0" fontId="41" fillId="0" borderId="0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9">
    <dxf>
      <fill>
        <patternFill patternType="solid">
          <fgColor rgb="FF1B3A5F"/>
          <bgColor rgb="FF000000"/>
        </patternFill>
      </fill>
    </dxf>
    <dxf>
      <fill>
        <patternFill patternType="solid">
          <fgColor rgb="FFF2F4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E293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2563EB"/>
          <bgColor rgb="FF000000"/>
        </patternFill>
      </fill>
    </dxf>
    <dxf>
      <fill>
        <patternFill patternType="solid">
          <fgColor rgb="FFCCFBF1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EDE9FE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065F46"/>
          <bgColor rgb="FF000000"/>
        </patternFill>
      </fill>
    </dxf>
    <dxf>
      <fill>
        <patternFill patternType="solid">
          <fgColor rgb="FF1E40AF"/>
          <bgColor rgb="FF000000"/>
        </patternFill>
      </fill>
    </dxf>
    <dxf>
      <fill>
        <patternFill patternType="solid">
          <fgColor rgb="FF5B21B6"/>
          <bgColor rgb="FF000000"/>
        </patternFill>
      </fill>
    </dxf>
    <dxf>
      <fill>
        <patternFill patternType="solid">
          <fgColor rgb="FF991B1B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FEDD5"/>
          <bgColor rgb="FF000000"/>
        </patternFill>
      </fill>
    </dxf>
    <dxf>
      <fill>
        <patternFill patternType="solid">
          <fgColor rgb="FF166534"/>
          <bgColor rgb="FF000000"/>
        </patternFill>
      </fill>
    </dxf>
    <dxf>
      <fill>
        <patternFill patternType="solid">
          <fgColor rgb="FF9A3412"/>
          <bgColor rgb="FF000000"/>
        </patternFill>
      </fill>
    </dxf>
    <dxf>
      <font>
        <b val="1"/>
        <color rgb="FF166534"/>
      </font>
      <fill>
        <patternFill>
          <bgColor rgb="FFDCFCE7"/>
        </patternFill>
      </fill>
    </dxf>
    <dxf>
      <font>
        <b val="1"/>
        <color rgb="FF991B1B"/>
      </font>
      <fill>
        <patternFill>
          <bgColor rgb="FFFEE2E2"/>
        </patternFill>
      </fill>
    </dxf>
    <dxf>
      <font>
        <b val="1"/>
        <color rgb="FF9A3412"/>
      </font>
      <fill>
        <patternFill>
          <bgColor rgb="FFFFEDD5"/>
        </patternFill>
      </fill>
    </dxf>
    <dxf>
      <font>
        <name val="Arial"/>
        <charset val="1"/>
        <family val="0"/>
        <b val="1"/>
        <color rgb="FF1E40AF"/>
        <sz val="10"/>
      </font>
      <fill>
        <patternFill>
          <bgColor rgb="FFDBEAFE"/>
        </patternFill>
      </fill>
    </dxf>
    <dxf>
      <font>
        <name val="Arial"/>
        <charset val="1"/>
        <family val="0"/>
        <b val="1"/>
        <color rgb="FF5B21B6"/>
        <sz val="10"/>
      </font>
      <fill>
        <patternFill>
          <bgColor rgb="FFEDE9FE"/>
        </patternFill>
      </fill>
    </dxf>
    <dxf>
      <font>
        <name val="Arial"/>
        <charset val="1"/>
        <family val="0"/>
        <b val="1"/>
        <color rgb="FF065F46"/>
        <sz val="10"/>
      </font>
      <fill>
        <patternFill>
          <bgColor rgb="FFCCFBF1"/>
        </patternFill>
      </fill>
    </dxf>
    <dxf>
      <font>
        <name val="Arial"/>
        <charset val="1"/>
        <family val="0"/>
        <b val="1"/>
        <color rgb="FF991B1B"/>
        <sz val="10"/>
      </font>
      <fill>
        <patternFill>
          <bgColor rgb="FFFEE2E2"/>
        </patternFill>
      </fill>
    </dxf>
    <dxf>
      <font>
        <name val="Arial"/>
        <charset val="1"/>
        <family val="0"/>
        <b val="1"/>
        <color rgb="FF92400E"/>
        <sz val="10"/>
      </font>
      <fill>
        <patternFill>
          <bgColor rgb="FFFEF3C7"/>
        </patternFill>
      </fill>
    </dxf>
    <dxf>
      <font>
        <name val="Arial"/>
        <charset val="1"/>
        <family val="0"/>
        <b val="1"/>
        <color rgb="FF64748B"/>
        <sz val="10"/>
      </font>
      <fill>
        <patternFill>
          <bgColor rgb="FFF1F5F9"/>
        </patternFill>
      </fill>
    </dxf>
    <dxf>
      <fill>
        <patternFill patternType="solid">
          <fgColor rgb="FF0D9488"/>
          <bgColor rgb="FF000000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5B21B6"/>
      <rgbColor rgb="FF0D9488"/>
      <rgbColor rgb="FFDBEAFE"/>
      <rgbColor rgb="FF808080"/>
      <rgbColor rgb="FF9999FF"/>
      <rgbColor rgb="FF92400E"/>
      <rgbColor rgb="FFFEF3C7"/>
      <rgbColor rgb="FFCCFBF1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DCFCE7"/>
      <rgbColor rgb="FFE2E8F0"/>
      <rgbColor rgb="FFFFEDD5"/>
      <rgbColor rgb="FFEDE9FE"/>
      <rgbColor rgb="FFF2F4F7"/>
      <rgbColor rgb="FFF1F5F9"/>
      <rgbColor rgb="FFFEE2E2"/>
      <rgbColor rgb="FF2563EB"/>
      <rgbColor rgb="FF33CCCC"/>
      <rgbColor rgb="FF99CC00"/>
      <rgbColor rgb="FFFFCC00"/>
      <rgbColor rgb="FFFF9900"/>
      <rgbColor rgb="FFD97706"/>
      <rgbColor rgb="FF64748B"/>
      <rgbColor rgb="FF94A3B8"/>
      <rgbColor rgb="FF1B3A5F"/>
      <rgbColor rgb="FF339966"/>
      <rgbColor rgb="FF003300"/>
      <rgbColor rgb="FF475569"/>
      <rgbColor rgb="FF9A3412"/>
      <rgbColor rgb="FF7C3AED"/>
      <rgbColor rgb="FF1E40AF"/>
      <rgbColor rgb="FF1E293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1B3A5F"/>
    <outlinePr summaryBelow="1" summaryRight="1"/>
    <pageSetUpPr fitToPage="0"/>
  </sheetPr>
  <dimension ref="A1:R6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87" min="1" max="1"/>
    <col width="6" customWidth="1" style="87" min="2" max="2"/>
    <col width="8" customWidth="1" style="87" min="3" max="4"/>
    <col width="32" customWidth="1" style="87" min="5" max="5"/>
    <col width="20" customWidth="1" style="87" min="6" max="6"/>
    <col width="14" customWidth="1" style="87" min="7" max="7"/>
    <col width="15" customWidth="1" style="87" min="8" max="9"/>
    <col width="12" customWidth="1" style="87" min="10" max="11"/>
    <col width="11" customWidth="1" style="87" min="12" max="12"/>
    <col width="9" customWidth="1" style="87" min="13" max="13"/>
    <col width="12" customWidth="1" style="87" min="14" max="14"/>
    <col width="15" customWidth="1" style="87" min="15" max="15"/>
    <col hidden="1" width="13" customWidth="1" style="87" min="18" max="18"/>
  </cols>
  <sheetData>
    <row r="1" ht="30" customHeight="1" s="88">
      <c r="A1" s="89" t="inlineStr">
        <is>
          <t>ID</t>
        </is>
      </c>
      <c r="B1" s="89" t="inlineStr">
        <is>
          <t>Day</t>
        </is>
      </c>
      <c r="C1" s="89" t="inlineStr">
        <is>
          <t>Start</t>
        </is>
      </c>
      <c r="D1" s="89" t="inlineStr">
        <is>
          <t>End</t>
        </is>
      </c>
      <c r="E1" s="89" t="inlineStr">
        <is>
          <t>Title</t>
        </is>
      </c>
      <c r="F1" s="89" t="inlineStr">
        <is>
          <t>Lead</t>
        </is>
      </c>
      <c r="G1" s="89" t="inlineStr">
        <is>
          <t>Room</t>
        </is>
      </c>
      <c r="H1" s="89" t="inlineStr">
        <is>
          <t>Type</t>
        </is>
      </c>
      <c r="I1" s="89" t="inlineStr">
        <is>
          <t>Track</t>
        </is>
      </c>
      <c r="J1" s="89" t="inlineStr">
        <is>
          <t>Capacity</t>
        </is>
      </c>
      <c r="K1" s="89" t="inlineStr">
        <is>
          <t>Expected
Participants</t>
        </is>
      </c>
      <c r="R1" s="87" t="inlineStr">
        <is>
          <t>Tracks (auto)</t>
        </is>
      </c>
    </row>
    <row r="2" ht="15" customHeight="1" s="88">
      <c r="A2" s="90" t="n">
        <v>1</v>
      </c>
      <c r="B2" s="90" t="n">
        <v>1</v>
      </c>
      <c r="C2" s="91" t="inlineStr">
        <is>
          <t>09:00</t>
        </is>
      </c>
      <c r="D2" s="91" t="inlineStr">
        <is>
          <t>10:00</t>
        </is>
      </c>
      <c r="E2" s="92" t="inlineStr">
        <is>
          <t>Opening Keynote</t>
        </is>
      </c>
      <c r="F2" s="93" t="inlineStr">
        <is>
          <t>Dr. Sarah Chen</t>
        </is>
      </c>
      <c r="G2" s="93" t="inlineStr">
        <is>
          <t>Main Hall</t>
        </is>
      </c>
      <c r="H2" s="93" t="inlineStr">
        <is>
          <t>Keynote</t>
        </is>
      </c>
      <c r="I2" s="93" t="inlineStr">
        <is>
          <t>all</t>
        </is>
      </c>
      <c r="J2" s="94" t="n">
        <v>200</v>
      </c>
      <c r="K2" s="94" t="n">
        <v>140</v>
      </c>
      <c r="R2" s="87">
        <f>sort(unique(filter(I2:I200,LOWER(I2:I200)&lt;&gt;"all")))</f>
        <v/>
      </c>
    </row>
    <row r="3" ht="15" customHeight="1" s="88">
      <c r="A3" s="95" t="n">
        <v>2</v>
      </c>
      <c r="B3" s="95" t="n">
        <v>1</v>
      </c>
      <c r="C3" s="96" t="inlineStr">
        <is>
          <t>10:30</t>
        </is>
      </c>
      <c r="D3" s="96" t="inlineStr">
        <is>
          <t>12:00</t>
        </is>
      </c>
      <c r="E3" s="97" t="inlineStr">
        <is>
          <t>Leading Through Change</t>
        </is>
      </c>
      <c r="F3" s="98" t="inlineStr">
        <is>
          <t>Mark Torres</t>
        </is>
      </c>
      <c r="G3" s="98" t="inlineStr">
        <is>
          <t>Room A1</t>
        </is>
      </c>
      <c r="H3" s="98" t="inlineStr">
        <is>
          <t>Leadership</t>
        </is>
      </c>
      <c r="I3" s="98" t="inlineStr">
        <is>
          <t>Leadership</t>
        </is>
      </c>
      <c r="J3" s="94" t="n">
        <v>40</v>
      </c>
      <c r="K3" s="94" t="n">
        <v>28</v>
      </c>
    </row>
    <row r="4" ht="15" customHeight="1" s="88">
      <c r="A4" s="90" t="n">
        <v>3</v>
      </c>
      <c r="B4" s="90" t="n">
        <v>1</v>
      </c>
      <c r="C4" s="91" t="inlineStr">
        <is>
          <t>10:30</t>
        </is>
      </c>
      <c r="D4" s="91" t="inlineStr">
        <is>
          <t>12:00</t>
        </is>
      </c>
      <c r="E4" s="92" t="inlineStr">
        <is>
          <t>API Design Patterns</t>
        </is>
      </c>
      <c r="F4" s="93" t="inlineStr">
        <is>
          <t>Priya Sharma</t>
        </is>
      </c>
      <c r="G4" s="93" t="inlineStr">
        <is>
          <t>Room B1</t>
        </is>
      </c>
      <c r="H4" s="93" t="inlineStr">
        <is>
          <t>Technical</t>
        </is>
      </c>
      <c r="I4" s="93" t="inlineStr">
        <is>
          <t>Technical</t>
        </is>
      </c>
      <c r="J4" s="94" t="n">
        <v>45</v>
      </c>
      <c r="K4" s="94" t="n">
        <v>31</v>
      </c>
    </row>
    <row r="5" ht="15" customHeight="1" s="88">
      <c r="A5" s="95" t="n">
        <v>4</v>
      </c>
      <c r="B5" s="95" t="n">
        <v>1</v>
      </c>
      <c r="C5" s="96" t="inlineStr">
        <is>
          <t>10:30</t>
        </is>
      </c>
      <c r="D5" s="96" t="inlineStr">
        <is>
          <t>12:00</t>
        </is>
      </c>
      <c r="E5" s="97" t="inlineStr">
        <is>
          <t>Empathy Mapping 101</t>
        </is>
      </c>
      <c r="F5" s="98" t="inlineStr">
        <is>
          <t>Lena Müller</t>
        </is>
      </c>
      <c r="G5" s="98" t="inlineStr">
        <is>
          <t>Room C1</t>
        </is>
      </c>
      <c r="H5" s="98" t="inlineStr">
        <is>
          <t>Design Thinking</t>
        </is>
      </c>
      <c r="I5" s="98" t="inlineStr">
        <is>
          <t>Design Thinking</t>
        </is>
      </c>
      <c r="J5" s="94" t="n">
        <v>35</v>
      </c>
      <c r="K5" s="94" t="n">
        <v>24</v>
      </c>
    </row>
    <row r="6" ht="15" customHeight="1" s="88">
      <c r="A6" s="90" t="n">
        <v>5</v>
      </c>
      <c r="B6" s="90" t="n">
        <v>1</v>
      </c>
      <c r="C6" s="91" t="inlineStr">
        <is>
          <t>10:30</t>
        </is>
      </c>
      <c r="D6" s="91" t="inlineStr">
        <is>
          <t>12:00</t>
        </is>
      </c>
      <c r="E6" s="92" t="inlineStr">
        <is>
          <t>Lean Process Improvement</t>
        </is>
      </c>
      <c r="F6" s="93" t="inlineStr">
        <is>
          <t>James Wright</t>
        </is>
      </c>
      <c r="G6" s="93" t="inlineStr">
        <is>
          <t>Room D1</t>
        </is>
      </c>
      <c r="H6" s="93" t="inlineStr">
        <is>
          <t>Operations</t>
        </is>
      </c>
      <c r="I6" s="93" t="inlineStr">
        <is>
          <t>Operations</t>
        </is>
      </c>
      <c r="J6" s="94" t="n">
        <v>30</v>
      </c>
      <c r="K6" s="94" t="n">
        <v>21</v>
      </c>
    </row>
    <row r="7" ht="15" customHeight="1" s="88">
      <c r="A7" s="95" t="n">
        <v>6</v>
      </c>
      <c r="B7" s="95" t="n">
        <v>1</v>
      </c>
      <c r="C7" s="96" t="inlineStr">
        <is>
          <t>12:00</t>
        </is>
      </c>
      <c r="D7" s="96" t="inlineStr">
        <is>
          <t>13:00</t>
        </is>
      </c>
      <c r="E7" s="97" t="inlineStr">
        <is>
          <t>Lunch &amp; Networking</t>
        </is>
      </c>
      <c r="F7" s="98" t="n"/>
      <c r="G7" s="98" t="inlineStr">
        <is>
          <t>Atrium</t>
        </is>
      </c>
      <c r="H7" s="98" t="inlineStr">
        <is>
          <t>Break</t>
        </is>
      </c>
      <c r="I7" s="98" t="inlineStr">
        <is>
          <t>all</t>
        </is>
      </c>
      <c r="J7" s="94" t="n">
        <v>200</v>
      </c>
      <c r="K7" s="94" t="n">
        <v>200</v>
      </c>
    </row>
    <row r="8" ht="15" customHeight="1" s="88">
      <c r="A8" s="90" t="n">
        <v>7</v>
      </c>
      <c r="B8" s="90" t="n">
        <v>1</v>
      </c>
      <c r="C8" s="91" t="inlineStr">
        <is>
          <t>13:00</t>
        </is>
      </c>
      <c r="D8" s="91" t="inlineStr">
        <is>
          <t>14:30</t>
        </is>
      </c>
      <c r="E8" s="92" t="inlineStr">
        <is>
          <t>Stakeholder Alignment</t>
        </is>
      </c>
      <c r="F8" s="93" t="inlineStr">
        <is>
          <t>Aisha Johnson</t>
        </is>
      </c>
      <c r="G8" s="93" t="inlineStr">
        <is>
          <t>Room A1</t>
        </is>
      </c>
      <c r="H8" s="93" t="inlineStr">
        <is>
          <t>Leadership</t>
        </is>
      </c>
      <c r="I8" s="93" t="inlineStr">
        <is>
          <t>Leadership</t>
        </is>
      </c>
      <c r="J8" s="94" t="n">
        <v>40</v>
      </c>
      <c r="K8" s="94" t="n">
        <v>28</v>
      </c>
    </row>
    <row r="9" ht="15" customHeight="1" s="88">
      <c r="A9" s="95" t="n">
        <v>8</v>
      </c>
      <c r="B9" s="95" t="n">
        <v>1</v>
      </c>
      <c r="C9" s="96" t="inlineStr">
        <is>
          <t>13:00</t>
        </is>
      </c>
      <c r="D9" s="96" t="inlineStr">
        <is>
          <t>14:30</t>
        </is>
      </c>
      <c r="E9" s="97" t="inlineStr">
        <is>
          <t>Cloud Infrastructure</t>
        </is>
      </c>
      <c r="F9" s="98" t="inlineStr">
        <is>
          <t>David Kim</t>
        </is>
      </c>
      <c r="G9" s="98" t="inlineStr">
        <is>
          <t>Room B1</t>
        </is>
      </c>
      <c r="H9" s="98" t="inlineStr">
        <is>
          <t>Technical</t>
        </is>
      </c>
      <c r="I9" s="98" t="inlineStr">
        <is>
          <t>Technical</t>
        </is>
      </c>
      <c r="J9" s="94" t="n">
        <v>50</v>
      </c>
      <c r="K9" s="94" t="n">
        <v>35</v>
      </c>
    </row>
    <row r="10" ht="15" customHeight="1" s="88">
      <c r="A10" s="90" t="n">
        <v>9</v>
      </c>
      <c r="B10" s="90" t="n">
        <v>1</v>
      </c>
      <c r="C10" s="91" t="inlineStr">
        <is>
          <t>13:00</t>
        </is>
      </c>
      <c r="D10" s="91" t="inlineStr">
        <is>
          <t>14:30</t>
        </is>
      </c>
      <c r="E10" s="92" t="inlineStr">
        <is>
          <t>Prototyping Sprint</t>
        </is>
      </c>
      <c r="F10" s="93" t="inlineStr">
        <is>
          <t>Carlos Ruiz</t>
        </is>
      </c>
      <c r="G10" s="93" t="inlineStr">
        <is>
          <t>Room C1</t>
        </is>
      </c>
      <c r="H10" s="93" t="inlineStr">
        <is>
          <t>Design Thinking</t>
        </is>
      </c>
      <c r="I10" s="93" t="inlineStr">
        <is>
          <t>Design Thinking</t>
        </is>
      </c>
      <c r="J10" s="94" t="n">
        <v>35</v>
      </c>
      <c r="K10" s="94" t="n">
        <v>24</v>
      </c>
    </row>
    <row r="11" ht="15" customHeight="1" s="88">
      <c r="A11" s="95" t="n">
        <v>10</v>
      </c>
      <c r="B11" s="95" t="n">
        <v>1</v>
      </c>
      <c r="C11" s="96" t="inlineStr">
        <is>
          <t>13:00</t>
        </is>
      </c>
      <c r="D11" s="96" t="inlineStr">
        <is>
          <t>14:30</t>
        </is>
      </c>
      <c r="E11" s="97" t="inlineStr">
        <is>
          <t>Risk Assessment</t>
        </is>
      </c>
      <c r="F11" s="98" t="inlineStr">
        <is>
          <t>Nina Petrov</t>
        </is>
      </c>
      <c r="G11" s="98" t="inlineStr">
        <is>
          <t>Room D1</t>
        </is>
      </c>
      <c r="H11" s="98" t="inlineStr">
        <is>
          <t>Operations</t>
        </is>
      </c>
      <c r="I11" s="98" t="inlineStr">
        <is>
          <t>Operations</t>
        </is>
      </c>
      <c r="J11" s="94" t="n">
        <v>30</v>
      </c>
      <c r="K11" s="94" t="n">
        <v>21</v>
      </c>
    </row>
    <row r="12" ht="15" customHeight="1" s="88">
      <c r="A12" s="90" t="n">
        <v>11</v>
      </c>
      <c r="B12" s="90" t="n">
        <v>1</v>
      </c>
      <c r="C12" s="91" t="inlineStr">
        <is>
          <t>14:30</t>
        </is>
      </c>
      <c r="D12" s="91" t="inlineStr">
        <is>
          <t>15:00</t>
        </is>
      </c>
      <c r="E12" s="92" t="inlineStr">
        <is>
          <t>Afternoon Break</t>
        </is>
      </c>
      <c r="F12" s="93" t="n"/>
      <c r="G12" s="93" t="inlineStr">
        <is>
          <t>Atrium</t>
        </is>
      </c>
      <c r="H12" s="93" t="inlineStr">
        <is>
          <t>Break</t>
        </is>
      </c>
      <c r="I12" s="93" t="inlineStr">
        <is>
          <t>all</t>
        </is>
      </c>
      <c r="J12" s="94" t="n">
        <v>200</v>
      </c>
      <c r="K12" s="94" t="n">
        <v>200</v>
      </c>
    </row>
    <row r="13" ht="15" customHeight="1" s="88">
      <c r="A13" s="95" t="n">
        <v>12</v>
      </c>
      <c r="B13" s="95" t="n">
        <v>1</v>
      </c>
      <c r="C13" s="96" t="inlineStr">
        <is>
          <t>15:00</t>
        </is>
      </c>
      <c r="D13" s="96" t="inlineStr">
        <is>
          <t>16:30</t>
        </is>
      </c>
      <c r="E13" s="97" t="inlineStr">
        <is>
          <t>Feedback Culture</t>
        </is>
      </c>
      <c r="F13" s="98" t="inlineStr">
        <is>
          <t>Tom Bradley</t>
        </is>
      </c>
      <c r="G13" s="98" t="inlineStr">
        <is>
          <t>Room A1</t>
        </is>
      </c>
      <c r="H13" s="98" t="inlineStr">
        <is>
          <t>Leadership</t>
        </is>
      </c>
      <c r="I13" s="98" t="inlineStr">
        <is>
          <t>Leadership</t>
        </is>
      </c>
      <c r="J13" s="94" t="n">
        <v>38</v>
      </c>
      <c r="K13" s="94" t="n">
        <v>26</v>
      </c>
    </row>
    <row r="14" ht="15" customHeight="1" s="88">
      <c r="A14" s="90" t="n">
        <v>13</v>
      </c>
      <c r="B14" s="90" t="n">
        <v>1</v>
      </c>
      <c r="C14" s="91" t="inlineStr">
        <is>
          <t>15:00</t>
        </is>
      </c>
      <c r="D14" s="91" t="inlineStr">
        <is>
          <t>16:30</t>
        </is>
      </c>
      <c r="E14" s="92" t="inlineStr">
        <is>
          <t>Data Pipeline Design</t>
        </is>
      </c>
      <c r="F14" s="93" t="inlineStr">
        <is>
          <t>Wei Zhang</t>
        </is>
      </c>
      <c r="G14" s="93" t="inlineStr">
        <is>
          <t>Room B1</t>
        </is>
      </c>
      <c r="H14" s="93" t="inlineStr">
        <is>
          <t>Technical</t>
        </is>
      </c>
      <c r="I14" s="93" t="inlineStr">
        <is>
          <t>Technical</t>
        </is>
      </c>
      <c r="J14" s="94" t="n">
        <v>42</v>
      </c>
      <c r="K14" s="94" t="n">
        <v>29</v>
      </c>
    </row>
    <row r="15" ht="15" customHeight="1" s="88">
      <c r="A15" s="95" t="n">
        <v>14</v>
      </c>
      <c r="B15" s="95" t="n">
        <v>1</v>
      </c>
      <c r="C15" s="96" t="inlineStr">
        <is>
          <t>15:00</t>
        </is>
      </c>
      <c r="D15" s="96" t="inlineStr">
        <is>
          <t>16:30</t>
        </is>
      </c>
      <c r="E15" s="97" t="inlineStr">
        <is>
          <t>Service Blueprinting</t>
        </is>
      </c>
      <c r="F15" s="98" t="inlineStr">
        <is>
          <t>Lena Müller</t>
        </is>
      </c>
      <c r="G15" s="98" t="inlineStr">
        <is>
          <t>Room C1</t>
        </is>
      </c>
      <c r="H15" s="98" t="inlineStr">
        <is>
          <t>Design Thinking</t>
        </is>
      </c>
      <c r="I15" s="98" t="inlineStr">
        <is>
          <t>Design Thinking</t>
        </is>
      </c>
      <c r="J15" s="94" t="n">
        <v>32</v>
      </c>
      <c r="K15" s="94" t="n">
        <v>22</v>
      </c>
    </row>
    <row r="16" ht="15" customHeight="1" s="88">
      <c r="A16" s="90" t="n">
        <v>15</v>
      </c>
      <c r="B16" s="90" t="n">
        <v>1</v>
      </c>
      <c r="C16" s="91" t="inlineStr">
        <is>
          <t>15:00</t>
        </is>
      </c>
      <c r="D16" s="91" t="inlineStr">
        <is>
          <t>16:30</t>
        </is>
      </c>
      <c r="E16" s="92" t="inlineStr">
        <is>
          <t>Agile Ceremonies</t>
        </is>
      </c>
      <c r="F16" s="93" t="inlineStr">
        <is>
          <t>Rachel Green</t>
        </is>
      </c>
      <c r="G16" s="93" t="inlineStr">
        <is>
          <t>Room D1</t>
        </is>
      </c>
      <c r="H16" s="93" t="inlineStr">
        <is>
          <t>Operations</t>
        </is>
      </c>
      <c r="I16" s="93" t="inlineStr">
        <is>
          <t>Operations</t>
        </is>
      </c>
      <c r="J16" s="94" t="n">
        <v>28</v>
      </c>
      <c r="K16" s="94" t="n">
        <v>19</v>
      </c>
    </row>
    <row r="17" ht="15" customHeight="1" s="88">
      <c r="A17" s="95" t="n">
        <v>16</v>
      </c>
      <c r="B17" s="95" t="n">
        <v>2</v>
      </c>
      <c r="C17" s="96" t="inlineStr">
        <is>
          <t>09:00</t>
        </is>
      </c>
      <c r="D17" s="96" t="inlineStr">
        <is>
          <t>10:30</t>
        </is>
      </c>
      <c r="E17" s="97" t="inlineStr">
        <is>
          <t>Emotional Intelligence</t>
        </is>
      </c>
      <c r="F17" s="98" t="inlineStr">
        <is>
          <t>Aisha Johnson</t>
        </is>
      </c>
      <c r="G17" s="98" t="inlineStr">
        <is>
          <t>Room A1</t>
        </is>
      </c>
      <c r="H17" s="98" t="inlineStr">
        <is>
          <t>Leadership</t>
        </is>
      </c>
      <c r="I17" s="98" t="inlineStr">
        <is>
          <t>Leadership</t>
        </is>
      </c>
      <c r="J17" s="94" t="n">
        <v>40</v>
      </c>
      <c r="K17" s="94" t="n">
        <v>28</v>
      </c>
    </row>
    <row r="18" ht="15" customHeight="1" s="88">
      <c r="A18" s="90" t="n">
        <v>17</v>
      </c>
      <c r="B18" s="90" t="n">
        <v>2</v>
      </c>
      <c r="C18" s="91" t="inlineStr">
        <is>
          <t>09:00</t>
        </is>
      </c>
      <c r="D18" s="91" t="inlineStr">
        <is>
          <t>10:30</t>
        </is>
      </c>
      <c r="E18" s="92" t="inlineStr">
        <is>
          <t>Security Fundamentals</t>
        </is>
      </c>
      <c r="F18" s="93" t="inlineStr">
        <is>
          <t>Alex Novak</t>
        </is>
      </c>
      <c r="G18" s="93" t="inlineStr">
        <is>
          <t>Room B1</t>
        </is>
      </c>
      <c r="H18" s="93" t="inlineStr">
        <is>
          <t>Technical</t>
        </is>
      </c>
      <c r="I18" s="93" t="inlineStr">
        <is>
          <t>Technical</t>
        </is>
      </c>
      <c r="J18" s="94" t="n">
        <v>48</v>
      </c>
      <c r="K18" s="94" t="n">
        <v>33</v>
      </c>
    </row>
    <row r="19" ht="15" customHeight="1" s="88">
      <c r="A19" s="95" t="n">
        <v>18</v>
      </c>
      <c r="B19" s="95" t="n">
        <v>2</v>
      </c>
      <c r="C19" s="96" t="inlineStr">
        <is>
          <t>09:00</t>
        </is>
      </c>
      <c r="D19" s="96" t="inlineStr">
        <is>
          <t>10:30</t>
        </is>
      </c>
      <c r="E19" s="97" t="inlineStr">
        <is>
          <t>Design Systems</t>
        </is>
      </c>
      <c r="F19" s="98" t="inlineStr">
        <is>
          <t>Yuki Tanaka</t>
        </is>
      </c>
      <c r="G19" s="98" t="inlineStr">
        <is>
          <t>Room C1</t>
        </is>
      </c>
      <c r="H19" s="98" t="inlineStr">
        <is>
          <t>Design Thinking</t>
        </is>
      </c>
      <c r="I19" s="98" t="inlineStr">
        <is>
          <t>Design Thinking</t>
        </is>
      </c>
      <c r="J19" s="94" t="n">
        <v>35</v>
      </c>
      <c r="K19" s="94" t="n">
        <v>24</v>
      </c>
    </row>
    <row r="20" ht="15" customHeight="1" s="88">
      <c r="A20" s="90" t="n">
        <v>19</v>
      </c>
      <c r="B20" s="90" t="n">
        <v>2</v>
      </c>
      <c r="C20" s="91" t="inlineStr">
        <is>
          <t>09:00</t>
        </is>
      </c>
      <c r="D20" s="91" t="inlineStr">
        <is>
          <t>10:30</t>
        </is>
      </c>
      <c r="E20" s="92" t="inlineStr">
        <is>
          <t>Capacity Planning</t>
        </is>
      </c>
      <c r="F20" s="93" t="inlineStr">
        <is>
          <t>James Wright</t>
        </is>
      </c>
      <c r="G20" s="93" t="inlineStr">
        <is>
          <t>Room D1</t>
        </is>
      </c>
      <c r="H20" s="93" t="inlineStr">
        <is>
          <t>Operations</t>
        </is>
      </c>
      <c r="I20" s="93" t="inlineStr">
        <is>
          <t>Operations</t>
        </is>
      </c>
      <c r="J20" s="94" t="n">
        <v>30</v>
      </c>
      <c r="K20" s="94" t="n">
        <v>21</v>
      </c>
    </row>
    <row r="21" ht="15" customHeight="1" s="88">
      <c r="A21" s="95" t="n">
        <v>20</v>
      </c>
      <c r="B21" s="95" t="n">
        <v>2</v>
      </c>
      <c r="C21" s="96" t="inlineStr">
        <is>
          <t>10:30</t>
        </is>
      </c>
      <c r="D21" s="96" t="inlineStr">
        <is>
          <t>11:00</t>
        </is>
      </c>
      <c r="E21" s="97" t="inlineStr">
        <is>
          <t>Morning Break</t>
        </is>
      </c>
      <c r="F21" s="98" t="n"/>
      <c r="G21" s="98" t="inlineStr">
        <is>
          <t>Atrium</t>
        </is>
      </c>
      <c r="H21" s="98" t="inlineStr">
        <is>
          <t>Break</t>
        </is>
      </c>
      <c r="I21" s="98" t="inlineStr">
        <is>
          <t>all</t>
        </is>
      </c>
      <c r="J21" s="94" t="n">
        <v>200</v>
      </c>
      <c r="K21" s="94" t="n">
        <v>200</v>
      </c>
    </row>
    <row r="22" ht="15" customHeight="1" s="88">
      <c r="A22" s="90" t="n">
        <v>21</v>
      </c>
      <c r="B22" s="90" t="n">
        <v>2</v>
      </c>
      <c r="C22" s="91" t="inlineStr">
        <is>
          <t>11:00</t>
        </is>
      </c>
      <c r="D22" s="91" t="inlineStr">
        <is>
          <t>12:00</t>
        </is>
      </c>
      <c r="E22" s="92" t="inlineStr">
        <is>
          <t>Panel: Future of Work</t>
        </is>
      </c>
      <c r="F22" s="93" t="inlineStr">
        <is>
          <t>Multiple Speakers</t>
        </is>
      </c>
      <c r="G22" s="93" t="inlineStr">
        <is>
          <t>Main Hall</t>
        </is>
      </c>
      <c r="H22" s="93" t="inlineStr">
        <is>
          <t>Keynote</t>
        </is>
      </c>
      <c r="I22" s="93" t="inlineStr">
        <is>
          <t>all</t>
        </is>
      </c>
      <c r="J22" s="94" t="n">
        <v>180</v>
      </c>
      <c r="K22" s="94" t="n">
        <v>125</v>
      </c>
    </row>
    <row r="23" ht="15" customHeight="1" s="88">
      <c r="A23" s="95" t="n">
        <v>22</v>
      </c>
      <c r="B23" s="95" t="n">
        <v>2</v>
      </c>
      <c r="C23" s="96" t="inlineStr">
        <is>
          <t>12:00</t>
        </is>
      </c>
      <c r="D23" s="96" t="inlineStr">
        <is>
          <t>13:00</t>
        </is>
      </c>
      <c r="E23" s="97" t="inlineStr">
        <is>
          <t>Lunch &amp; Networking</t>
        </is>
      </c>
      <c r="F23" s="98" t="n"/>
      <c r="G23" s="98" t="inlineStr">
        <is>
          <t>Atrium</t>
        </is>
      </c>
      <c r="H23" s="98" t="inlineStr">
        <is>
          <t>Break</t>
        </is>
      </c>
      <c r="I23" s="98" t="inlineStr">
        <is>
          <t>all</t>
        </is>
      </c>
      <c r="J23" s="94" t="n">
        <v>200</v>
      </c>
      <c r="K23" s="94" t="n">
        <v>200</v>
      </c>
    </row>
    <row r="24" ht="15" customHeight="1" s="88">
      <c r="A24" s="90" t="n">
        <v>23</v>
      </c>
      <c r="B24" s="90" t="n">
        <v>2</v>
      </c>
      <c r="C24" s="91" t="inlineStr">
        <is>
          <t>13:00</t>
        </is>
      </c>
      <c r="D24" s="91" t="inlineStr">
        <is>
          <t>14:30</t>
        </is>
      </c>
      <c r="E24" s="92" t="inlineStr">
        <is>
          <t>Conflict Resolution</t>
        </is>
      </c>
      <c r="F24" s="93" t="inlineStr">
        <is>
          <t>Mark Torres</t>
        </is>
      </c>
      <c r="G24" s="93" t="inlineStr">
        <is>
          <t>Room A1</t>
        </is>
      </c>
      <c r="H24" s="93" t="inlineStr">
        <is>
          <t>Leadership</t>
        </is>
      </c>
      <c r="I24" s="93" t="inlineStr">
        <is>
          <t>Leadership</t>
        </is>
      </c>
      <c r="J24" s="94" t="n">
        <v>40</v>
      </c>
      <c r="K24" s="94" t="n">
        <v>28</v>
      </c>
    </row>
    <row r="25" ht="15" customHeight="1" s="88">
      <c r="A25" s="95" t="n">
        <v>24</v>
      </c>
      <c r="B25" s="95" t="n">
        <v>2</v>
      </c>
      <c r="C25" s="96" t="inlineStr">
        <is>
          <t>13:00</t>
        </is>
      </c>
      <c r="D25" s="96" t="inlineStr">
        <is>
          <t>14:30</t>
        </is>
      </c>
      <c r="E25" s="97" t="inlineStr">
        <is>
          <t>DevOps Practices</t>
        </is>
      </c>
      <c r="F25" s="98" t="inlineStr">
        <is>
          <t>Priya Sharma</t>
        </is>
      </c>
      <c r="G25" s="98" t="inlineStr">
        <is>
          <t>Room B1</t>
        </is>
      </c>
      <c r="H25" s="98" t="inlineStr">
        <is>
          <t>Technical</t>
        </is>
      </c>
      <c r="I25" s="98" t="inlineStr">
        <is>
          <t>Technical</t>
        </is>
      </c>
      <c r="J25" s="94" t="n">
        <v>50</v>
      </c>
      <c r="K25" s="94" t="n">
        <v>35</v>
      </c>
    </row>
    <row r="26" ht="15" customHeight="1" s="88">
      <c r="A26" s="90" t="n">
        <v>25</v>
      </c>
      <c r="B26" s="90" t="n">
        <v>2</v>
      </c>
      <c r="C26" s="91" t="inlineStr">
        <is>
          <t>13:00</t>
        </is>
      </c>
      <c r="D26" s="91" t="inlineStr">
        <is>
          <t>14:30</t>
        </is>
      </c>
      <c r="E26" s="92" t="inlineStr">
        <is>
          <t>Accessibility Workshop</t>
        </is>
      </c>
      <c r="F26" s="93" t="inlineStr">
        <is>
          <t>Carlos Ruiz</t>
        </is>
      </c>
      <c r="G26" s="93" t="inlineStr">
        <is>
          <t>Room C1</t>
        </is>
      </c>
      <c r="H26" s="93" t="inlineStr">
        <is>
          <t>Design Thinking</t>
        </is>
      </c>
      <c r="I26" s="93" t="inlineStr">
        <is>
          <t>Design Thinking</t>
        </is>
      </c>
      <c r="J26" s="94" t="n">
        <v>36</v>
      </c>
      <c r="K26" s="94" t="n">
        <v>25</v>
      </c>
    </row>
    <row r="27" ht="15" customHeight="1" s="88">
      <c r="A27" s="95" t="n">
        <v>26</v>
      </c>
      <c r="B27" s="95" t="n">
        <v>2</v>
      </c>
      <c r="C27" s="96" t="inlineStr">
        <is>
          <t>13:00</t>
        </is>
      </c>
      <c r="D27" s="96" t="inlineStr">
        <is>
          <t>14:30</t>
        </is>
      </c>
      <c r="E27" s="97" t="inlineStr">
        <is>
          <t>Vendor Management</t>
        </is>
      </c>
      <c r="F27" s="98" t="inlineStr">
        <is>
          <t>Nina Petrov</t>
        </is>
      </c>
      <c r="G27" s="98" t="inlineStr">
        <is>
          <t>Room D1</t>
        </is>
      </c>
      <c r="H27" s="98" t="inlineStr">
        <is>
          <t>Operations</t>
        </is>
      </c>
      <c r="I27" s="98" t="inlineStr">
        <is>
          <t>Operations</t>
        </is>
      </c>
      <c r="J27" s="94" t="n">
        <v>28</v>
      </c>
      <c r="K27" s="94" t="n">
        <v>19</v>
      </c>
    </row>
    <row r="28" ht="15" customHeight="1" s="88">
      <c r="A28" s="90" t="n">
        <v>27</v>
      </c>
      <c r="B28" s="90" t="n">
        <v>2</v>
      </c>
      <c r="C28" s="91" t="inlineStr">
        <is>
          <t>14:30</t>
        </is>
      </c>
      <c r="D28" s="91" t="inlineStr">
        <is>
          <t>15:00</t>
        </is>
      </c>
      <c r="E28" s="92" t="inlineStr">
        <is>
          <t>Afternoon Break</t>
        </is>
      </c>
      <c r="F28" s="93" t="n"/>
      <c r="G28" s="93" t="inlineStr">
        <is>
          <t>Atrium</t>
        </is>
      </c>
      <c r="H28" s="93" t="inlineStr">
        <is>
          <t>Break</t>
        </is>
      </c>
      <c r="I28" s="93" t="inlineStr">
        <is>
          <t>all</t>
        </is>
      </c>
      <c r="J28" s="94" t="n">
        <v>200</v>
      </c>
      <c r="K28" s="94" t="n">
        <v>200</v>
      </c>
    </row>
    <row r="29" ht="15" customHeight="1" s="88">
      <c r="A29" s="95" t="n">
        <v>28</v>
      </c>
      <c r="B29" s="95" t="n">
        <v>2</v>
      </c>
      <c r="C29" s="96" t="inlineStr">
        <is>
          <t>15:00</t>
        </is>
      </c>
      <c r="D29" s="96" t="inlineStr">
        <is>
          <t>16:30</t>
        </is>
      </c>
      <c r="E29" s="97" t="inlineStr">
        <is>
          <t>Strategic Planning</t>
        </is>
      </c>
      <c r="F29" s="98" t="inlineStr">
        <is>
          <t>Tom Bradley</t>
        </is>
      </c>
      <c r="G29" s="98" t="inlineStr">
        <is>
          <t>Room A1</t>
        </is>
      </c>
      <c r="H29" s="98" t="inlineStr">
        <is>
          <t>Leadership</t>
        </is>
      </c>
      <c r="I29" s="98" t="inlineStr">
        <is>
          <t>Leadership</t>
        </is>
      </c>
      <c r="J29" s="94" t="n">
        <v>42</v>
      </c>
      <c r="K29" s="94" t="n">
        <v>29</v>
      </c>
    </row>
    <row r="30" ht="15" customHeight="1" s="88">
      <c r="A30" s="90" t="n">
        <v>29</v>
      </c>
      <c r="B30" s="90" t="n">
        <v>2</v>
      </c>
      <c r="C30" s="91" t="inlineStr">
        <is>
          <t>15:00</t>
        </is>
      </c>
      <c r="D30" s="91" t="inlineStr">
        <is>
          <t>16:30</t>
        </is>
      </c>
      <c r="E30" s="92" t="inlineStr">
        <is>
          <t>Performance Testing</t>
        </is>
      </c>
      <c r="F30" s="93" t="inlineStr">
        <is>
          <t>David Kim</t>
        </is>
      </c>
      <c r="G30" s="93" t="inlineStr">
        <is>
          <t>Room B1</t>
        </is>
      </c>
      <c r="H30" s="93" t="inlineStr">
        <is>
          <t>Technical</t>
        </is>
      </c>
      <c r="I30" s="93" t="inlineStr">
        <is>
          <t>Technical</t>
        </is>
      </c>
      <c r="J30" s="94" t="n">
        <v>44</v>
      </c>
      <c r="K30" s="94" t="n">
        <v>30</v>
      </c>
    </row>
    <row r="31" ht="15" customHeight="1" s="88">
      <c r="A31" s="95" t="n">
        <v>30</v>
      </c>
      <c r="B31" s="95" t="n">
        <v>2</v>
      </c>
      <c r="C31" s="96" t="inlineStr">
        <is>
          <t>15:00</t>
        </is>
      </c>
      <c r="D31" s="96" t="inlineStr">
        <is>
          <t>16:30</t>
        </is>
      </c>
      <c r="E31" s="97" t="inlineStr">
        <is>
          <t>User Research Methods</t>
        </is>
      </c>
      <c r="F31" s="98" t="inlineStr">
        <is>
          <t>Yuki Tanaka</t>
        </is>
      </c>
      <c r="G31" s="98" t="inlineStr">
        <is>
          <t>Room C1</t>
        </is>
      </c>
      <c r="H31" s="98" t="inlineStr">
        <is>
          <t>Design Thinking</t>
        </is>
      </c>
      <c r="I31" s="98" t="inlineStr">
        <is>
          <t>Design Thinking</t>
        </is>
      </c>
      <c r="J31" s="94" t="n">
        <v>34</v>
      </c>
      <c r="K31" s="94" t="n">
        <v>23</v>
      </c>
    </row>
    <row r="32" ht="15" customHeight="1" s="88">
      <c r="A32" s="90" t="n">
        <v>31</v>
      </c>
      <c r="B32" s="90" t="n">
        <v>2</v>
      </c>
      <c r="C32" s="91" t="inlineStr">
        <is>
          <t>15:00</t>
        </is>
      </c>
      <c r="D32" s="91" t="inlineStr">
        <is>
          <t>16:30</t>
        </is>
      </c>
      <c r="E32" s="92" t="inlineStr">
        <is>
          <t>Budget Forecasting</t>
        </is>
      </c>
      <c r="F32" s="93" t="inlineStr">
        <is>
          <t>Rachel Green</t>
        </is>
      </c>
      <c r="G32" s="93" t="inlineStr">
        <is>
          <t>Room D1</t>
        </is>
      </c>
      <c r="H32" s="93" t="inlineStr">
        <is>
          <t>Operations</t>
        </is>
      </c>
      <c r="I32" s="93" t="inlineStr">
        <is>
          <t>Operations</t>
        </is>
      </c>
      <c r="J32" s="94" t="n">
        <v>26</v>
      </c>
      <c r="K32" s="94" t="n">
        <v>18</v>
      </c>
    </row>
    <row r="33" ht="15" customHeight="1" s="88">
      <c r="A33" s="95" t="n">
        <v>32</v>
      </c>
      <c r="B33" s="95" t="n">
        <v>3</v>
      </c>
      <c r="C33" s="96" t="inlineStr">
        <is>
          <t>09:00</t>
        </is>
      </c>
      <c r="D33" s="96" t="inlineStr">
        <is>
          <t>10:00</t>
        </is>
      </c>
      <c r="E33" s="97" t="inlineStr">
        <is>
          <t>Midweek Keynote</t>
        </is>
      </c>
      <c r="F33" s="98" t="inlineStr">
        <is>
          <t>Dr. Sarah Chen</t>
        </is>
      </c>
      <c r="G33" s="98" t="inlineStr">
        <is>
          <t>Main Hall</t>
        </is>
      </c>
      <c r="H33" s="98" t="inlineStr">
        <is>
          <t>Keynote</t>
        </is>
      </c>
      <c r="I33" s="98" t="inlineStr">
        <is>
          <t>all</t>
        </is>
      </c>
      <c r="J33" s="94" t="n">
        <v>190</v>
      </c>
      <c r="K33" s="94" t="n">
        <v>133</v>
      </c>
    </row>
    <row r="34" ht="15" customHeight="1" s="88">
      <c r="A34" s="90" t="n">
        <v>33</v>
      </c>
      <c r="B34" s="90" t="n">
        <v>3</v>
      </c>
      <c r="C34" s="91" t="inlineStr">
        <is>
          <t>10:00</t>
        </is>
      </c>
      <c r="D34" s="91" t="inlineStr">
        <is>
          <t>10:30</t>
        </is>
      </c>
      <c r="E34" s="92" t="inlineStr">
        <is>
          <t>Morning Break</t>
        </is>
      </c>
      <c r="F34" s="93" t="n"/>
      <c r="G34" s="93" t="inlineStr">
        <is>
          <t>Atrium</t>
        </is>
      </c>
      <c r="H34" s="93" t="inlineStr">
        <is>
          <t>Break</t>
        </is>
      </c>
      <c r="I34" s="93" t="inlineStr">
        <is>
          <t>all</t>
        </is>
      </c>
      <c r="J34" s="94" t="n">
        <v>200</v>
      </c>
      <c r="K34" s="94" t="n">
        <v>200</v>
      </c>
    </row>
    <row r="35" ht="15" customHeight="1" s="88">
      <c r="A35" s="95" t="n">
        <v>34</v>
      </c>
      <c r="B35" s="95" t="n">
        <v>3</v>
      </c>
      <c r="C35" s="96" t="inlineStr">
        <is>
          <t>10:30</t>
        </is>
      </c>
      <c r="D35" s="96" t="inlineStr">
        <is>
          <t>12:00</t>
        </is>
      </c>
      <c r="E35" s="97" t="inlineStr">
        <is>
          <t>Cross-Team Collaboration</t>
        </is>
      </c>
      <c r="F35" s="98" t="inlineStr">
        <is>
          <t>Aisha Johnson</t>
        </is>
      </c>
      <c r="G35" s="98" t="inlineStr">
        <is>
          <t>Room A1</t>
        </is>
      </c>
      <c r="H35" s="98" t="inlineStr">
        <is>
          <t>Leadership</t>
        </is>
      </c>
      <c r="I35" s="98" t="inlineStr">
        <is>
          <t>Leadership</t>
        </is>
      </c>
      <c r="J35" s="94" t="n">
        <v>40</v>
      </c>
      <c r="K35" s="94" t="n">
        <v>28</v>
      </c>
    </row>
    <row r="36" ht="15" customHeight="1" s="88">
      <c r="A36" s="90" t="n">
        <v>35</v>
      </c>
      <c r="B36" s="90" t="n">
        <v>3</v>
      </c>
      <c r="C36" s="91" t="inlineStr">
        <is>
          <t>10:30</t>
        </is>
      </c>
      <c r="D36" s="91" t="inlineStr">
        <is>
          <t>12:00</t>
        </is>
      </c>
      <c r="E36" s="92" t="inlineStr">
        <is>
          <t>AI/ML Integration</t>
        </is>
      </c>
      <c r="F36" s="93" t="inlineStr">
        <is>
          <t>Wei Zhang</t>
        </is>
      </c>
      <c r="G36" s="93" t="inlineStr">
        <is>
          <t>Room B1</t>
        </is>
      </c>
      <c r="H36" s="93" t="inlineStr">
        <is>
          <t>Technical</t>
        </is>
      </c>
      <c r="I36" s="93" t="inlineStr">
        <is>
          <t>Technical</t>
        </is>
      </c>
      <c r="J36" s="94" t="n">
        <v>52</v>
      </c>
      <c r="K36" s="94" t="n">
        <v>36</v>
      </c>
    </row>
    <row r="37" ht="15" customHeight="1" s="88">
      <c r="A37" s="95" t="n">
        <v>36</v>
      </c>
      <c r="B37" s="95" t="n">
        <v>3</v>
      </c>
      <c r="C37" s="96" t="inlineStr">
        <is>
          <t>10:30</t>
        </is>
      </c>
      <c r="D37" s="96" t="inlineStr">
        <is>
          <t>12:00</t>
        </is>
      </c>
      <c r="E37" s="97" t="inlineStr">
        <is>
          <t>Workshop Facilitation</t>
        </is>
      </c>
      <c r="F37" s="98" t="inlineStr">
        <is>
          <t>Lena Müller</t>
        </is>
      </c>
      <c r="G37" s="98" t="inlineStr">
        <is>
          <t>Room C1</t>
        </is>
      </c>
      <c r="H37" s="98" t="inlineStr">
        <is>
          <t>Design Thinking</t>
        </is>
      </c>
      <c r="I37" s="98" t="inlineStr">
        <is>
          <t>Design Thinking</t>
        </is>
      </c>
      <c r="J37" s="94" t="n">
        <v>34</v>
      </c>
      <c r="K37" s="94" t="n">
        <v>23</v>
      </c>
    </row>
    <row r="38" ht="15" customHeight="1" s="88">
      <c r="A38" s="90" t="n">
        <v>37</v>
      </c>
      <c r="B38" s="90" t="n">
        <v>3</v>
      </c>
      <c r="C38" s="91" t="inlineStr">
        <is>
          <t>10:30</t>
        </is>
      </c>
      <c r="D38" s="91" t="inlineStr">
        <is>
          <t>12:00</t>
        </is>
      </c>
      <c r="E38" s="92" t="inlineStr">
        <is>
          <t>Incident Response</t>
        </is>
      </c>
      <c r="F38" s="93" t="inlineStr">
        <is>
          <t>Alex Novak</t>
        </is>
      </c>
      <c r="G38" s="93" t="inlineStr">
        <is>
          <t>Room D1</t>
        </is>
      </c>
      <c r="H38" s="93" t="inlineStr">
        <is>
          <t>Operations</t>
        </is>
      </c>
      <c r="I38" s="93" t="inlineStr">
        <is>
          <t>Operations</t>
        </is>
      </c>
      <c r="J38" s="94" t="n">
        <v>30</v>
      </c>
      <c r="K38" s="94" t="n">
        <v>21</v>
      </c>
    </row>
    <row r="39" ht="15" customHeight="1" s="88">
      <c r="A39" s="95" t="n">
        <v>38</v>
      </c>
      <c r="B39" s="95" t="n">
        <v>3</v>
      </c>
      <c r="C39" s="96" t="inlineStr">
        <is>
          <t>12:00</t>
        </is>
      </c>
      <c r="D39" s="96" t="inlineStr">
        <is>
          <t>13:00</t>
        </is>
      </c>
      <c r="E39" s="97" t="inlineStr">
        <is>
          <t>Lunch &amp; Networking</t>
        </is>
      </c>
      <c r="F39" s="98" t="n"/>
      <c r="G39" s="98" t="inlineStr">
        <is>
          <t>Atrium</t>
        </is>
      </c>
      <c r="H39" s="98" t="inlineStr">
        <is>
          <t>Break</t>
        </is>
      </c>
      <c r="I39" s="98" t="inlineStr">
        <is>
          <t>all</t>
        </is>
      </c>
      <c r="J39" s="94" t="n">
        <v>200</v>
      </c>
      <c r="K39" s="94" t="n">
        <v>200</v>
      </c>
    </row>
    <row r="40" ht="15" customHeight="1" s="88">
      <c r="A40" s="90" t="n">
        <v>39</v>
      </c>
      <c r="B40" s="90" t="n">
        <v>3</v>
      </c>
      <c r="C40" s="91" t="inlineStr">
        <is>
          <t>13:00</t>
        </is>
      </c>
      <c r="D40" s="91" t="inlineStr">
        <is>
          <t>16:30</t>
        </is>
      </c>
      <c r="E40" s="92" t="inlineStr">
        <is>
          <t>Cross-Track Hackathon</t>
        </is>
      </c>
      <c r="F40" s="93" t="inlineStr">
        <is>
          <t>All Facilitators</t>
        </is>
      </c>
      <c r="G40" s="93" t="inlineStr">
        <is>
          <t>All Rooms</t>
        </is>
      </c>
      <c r="H40" s="93" t="inlineStr">
        <is>
          <t>Keynote</t>
        </is>
      </c>
      <c r="I40" s="93" t="inlineStr">
        <is>
          <t>all</t>
        </is>
      </c>
      <c r="J40" s="94" t="n">
        <v>200</v>
      </c>
      <c r="K40" s="94" t="n">
        <v>140</v>
      </c>
    </row>
    <row r="41" ht="15" customHeight="1" s="88">
      <c r="A41" s="95" t="n">
        <v>40</v>
      </c>
      <c r="B41" s="95" t="n">
        <v>4</v>
      </c>
      <c r="C41" s="96" t="inlineStr">
        <is>
          <t>09:00</t>
        </is>
      </c>
      <c r="D41" s="96" t="inlineStr">
        <is>
          <t>10:30</t>
        </is>
      </c>
      <c r="E41" s="97" t="inlineStr">
        <is>
          <t>Coaching Skills</t>
        </is>
      </c>
      <c r="F41" s="98" t="inlineStr">
        <is>
          <t>Mark Torres</t>
        </is>
      </c>
      <c r="G41" s="98" t="inlineStr">
        <is>
          <t>Room A1</t>
        </is>
      </c>
      <c r="H41" s="98" t="inlineStr">
        <is>
          <t>Leadership</t>
        </is>
      </c>
      <c r="I41" s="98" t="inlineStr">
        <is>
          <t>Leadership</t>
        </is>
      </c>
      <c r="J41" s="94" t="n">
        <v>38</v>
      </c>
      <c r="K41" s="94" t="n">
        <v>26</v>
      </c>
    </row>
    <row r="42" ht="15" customHeight="1" s="88">
      <c r="A42" s="90" t="n">
        <v>41</v>
      </c>
      <c r="B42" s="90" t="n">
        <v>4</v>
      </c>
      <c r="C42" s="91" t="inlineStr">
        <is>
          <t>09:00</t>
        </is>
      </c>
      <c r="D42" s="91" t="inlineStr">
        <is>
          <t>10:30</t>
        </is>
      </c>
      <c r="E42" s="92" t="inlineStr">
        <is>
          <t>System Architecture</t>
        </is>
      </c>
      <c r="F42" s="93" t="inlineStr">
        <is>
          <t>David Kim</t>
        </is>
      </c>
      <c r="G42" s="93" t="inlineStr">
        <is>
          <t>Room B1</t>
        </is>
      </c>
      <c r="H42" s="93" t="inlineStr">
        <is>
          <t>Technical</t>
        </is>
      </c>
      <c r="I42" s="93" t="inlineStr">
        <is>
          <t>Technical</t>
        </is>
      </c>
      <c r="J42" s="94" t="n">
        <v>50</v>
      </c>
      <c r="K42" s="94" t="n">
        <v>35</v>
      </c>
    </row>
    <row r="43" ht="15" customHeight="1" s="88">
      <c r="A43" s="95" t="n">
        <v>42</v>
      </c>
      <c r="B43" s="95" t="n">
        <v>4</v>
      </c>
      <c r="C43" s="96" t="inlineStr">
        <is>
          <t>09:00</t>
        </is>
      </c>
      <c r="D43" s="96" t="inlineStr">
        <is>
          <t>10:30</t>
        </is>
      </c>
      <c r="E43" s="97" t="inlineStr">
        <is>
          <t>Data Visualization</t>
        </is>
      </c>
      <c r="F43" s="98" t="inlineStr">
        <is>
          <t>Carlos Ruiz</t>
        </is>
      </c>
      <c r="G43" s="98" t="inlineStr">
        <is>
          <t>Room C1</t>
        </is>
      </c>
      <c r="H43" s="98" t="inlineStr">
        <is>
          <t>Design Thinking</t>
        </is>
      </c>
      <c r="I43" s="98" t="inlineStr">
        <is>
          <t>Design Thinking</t>
        </is>
      </c>
      <c r="J43" s="94" t="n">
        <v>36</v>
      </c>
      <c r="K43" s="94" t="n">
        <v>25</v>
      </c>
    </row>
    <row r="44" ht="15" customHeight="1" s="88">
      <c r="A44" s="90" t="n">
        <v>43</v>
      </c>
      <c r="B44" s="90" t="n">
        <v>4</v>
      </c>
      <c r="C44" s="91" t="inlineStr">
        <is>
          <t>09:00</t>
        </is>
      </c>
      <c r="D44" s="91" t="inlineStr">
        <is>
          <t>10:30</t>
        </is>
      </c>
      <c r="E44" s="92" t="inlineStr">
        <is>
          <t>Change Management</t>
        </is>
      </c>
      <c r="F44" s="93" t="inlineStr">
        <is>
          <t>James Wright</t>
        </is>
      </c>
      <c r="G44" s="93" t="inlineStr">
        <is>
          <t>Room D1</t>
        </is>
      </c>
      <c r="H44" s="93" t="inlineStr">
        <is>
          <t>Operations</t>
        </is>
      </c>
      <c r="I44" s="93" t="inlineStr">
        <is>
          <t>Operations</t>
        </is>
      </c>
      <c r="J44" s="94" t="n">
        <v>32</v>
      </c>
      <c r="K44" s="94" t="n">
        <v>22</v>
      </c>
    </row>
    <row r="45" ht="15" customHeight="1" s="88">
      <c r="A45" s="95" t="n">
        <v>44</v>
      </c>
      <c r="B45" s="95" t="n">
        <v>4</v>
      </c>
      <c r="C45" s="96" t="inlineStr">
        <is>
          <t>10:30</t>
        </is>
      </c>
      <c r="D45" s="96" t="inlineStr">
        <is>
          <t>11:00</t>
        </is>
      </c>
      <c r="E45" s="97" t="inlineStr">
        <is>
          <t>Morning Break</t>
        </is>
      </c>
      <c r="F45" s="98" t="n"/>
      <c r="G45" s="98" t="inlineStr">
        <is>
          <t>Atrium</t>
        </is>
      </c>
      <c r="H45" s="98" t="inlineStr">
        <is>
          <t>Break</t>
        </is>
      </c>
      <c r="I45" s="98" t="inlineStr">
        <is>
          <t>all</t>
        </is>
      </c>
      <c r="J45" s="94" t="n">
        <v>200</v>
      </c>
      <c r="K45" s="94" t="n">
        <v>200</v>
      </c>
    </row>
    <row r="46" ht="15" customHeight="1" s="88">
      <c r="A46" s="90" t="n">
        <v>45</v>
      </c>
      <c r="B46" s="90" t="n">
        <v>4</v>
      </c>
      <c r="C46" s="91" t="inlineStr">
        <is>
          <t>11:00</t>
        </is>
      </c>
      <c r="D46" s="91" t="inlineStr">
        <is>
          <t>12:30</t>
        </is>
      </c>
      <c r="E46" s="92" t="inlineStr">
        <is>
          <t>Presentation Mastery</t>
        </is>
      </c>
      <c r="F46" s="93" t="inlineStr">
        <is>
          <t>Tom Bradley</t>
        </is>
      </c>
      <c r="G46" s="93" t="inlineStr">
        <is>
          <t>Room A1</t>
        </is>
      </c>
      <c r="H46" s="93" t="inlineStr">
        <is>
          <t>Leadership</t>
        </is>
      </c>
      <c r="I46" s="93" t="inlineStr">
        <is>
          <t>Leadership</t>
        </is>
      </c>
      <c r="J46" s="94" t="n">
        <v>42</v>
      </c>
      <c r="K46" s="94" t="n">
        <v>29</v>
      </c>
    </row>
    <row r="47" ht="15" customHeight="1" s="88">
      <c r="A47" s="95" t="n">
        <v>46</v>
      </c>
      <c r="B47" s="95" t="n">
        <v>4</v>
      </c>
      <c r="C47" s="96" t="inlineStr">
        <is>
          <t>11:00</t>
        </is>
      </c>
      <c r="D47" s="96" t="inlineStr">
        <is>
          <t>12:30</t>
        </is>
      </c>
      <c r="E47" s="97" t="inlineStr">
        <is>
          <t>Testing Strategies</t>
        </is>
      </c>
      <c r="F47" s="98" t="inlineStr">
        <is>
          <t>Priya Sharma</t>
        </is>
      </c>
      <c r="G47" s="98" t="inlineStr">
        <is>
          <t>Room B1</t>
        </is>
      </c>
      <c r="H47" s="98" t="inlineStr">
        <is>
          <t>Technical</t>
        </is>
      </c>
      <c r="I47" s="98" t="inlineStr">
        <is>
          <t>Technical</t>
        </is>
      </c>
      <c r="J47" s="94" t="n">
        <v>46</v>
      </c>
      <c r="K47" s="94" t="n">
        <v>32</v>
      </c>
    </row>
    <row r="48" ht="15" customHeight="1" s="88">
      <c r="A48" s="90" t="n">
        <v>47</v>
      </c>
      <c r="B48" s="90" t="n">
        <v>4</v>
      </c>
      <c r="C48" s="91" t="inlineStr">
        <is>
          <t>11:00</t>
        </is>
      </c>
      <c r="D48" s="91" t="inlineStr">
        <is>
          <t>12:30</t>
        </is>
      </c>
      <c r="E48" s="92" t="inlineStr">
        <is>
          <t>Design Critiques</t>
        </is>
      </c>
      <c r="F48" s="93" t="inlineStr">
        <is>
          <t>Yuki Tanaka</t>
        </is>
      </c>
      <c r="G48" s="93" t="inlineStr">
        <is>
          <t>Room C1</t>
        </is>
      </c>
      <c r="H48" s="93" t="inlineStr">
        <is>
          <t>Design Thinking</t>
        </is>
      </c>
      <c r="I48" s="93" t="inlineStr">
        <is>
          <t>Design Thinking</t>
        </is>
      </c>
      <c r="J48" s="94" t="n">
        <v>34</v>
      </c>
      <c r="K48" s="94" t="n">
        <v>23</v>
      </c>
    </row>
    <row r="49" ht="15" customHeight="1" s="88">
      <c r="A49" s="95" t="n">
        <v>48</v>
      </c>
      <c r="B49" s="95" t="n">
        <v>4</v>
      </c>
      <c r="C49" s="96" t="inlineStr">
        <is>
          <t>11:00</t>
        </is>
      </c>
      <c r="D49" s="96" t="inlineStr">
        <is>
          <t>12:30</t>
        </is>
      </c>
      <c r="E49" s="97" t="inlineStr">
        <is>
          <t>Process Automation</t>
        </is>
      </c>
      <c r="F49" s="98" t="inlineStr">
        <is>
          <t>Nina Petrov</t>
        </is>
      </c>
      <c r="G49" s="98" t="inlineStr">
        <is>
          <t>Room D1</t>
        </is>
      </c>
      <c r="H49" s="98" t="inlineStr">
        <is>
          <t>Operations</t>
        </is>
      </c>
      <c r="I49" s="98" t="inlineStr">
        <is>
          <t>Operations</t>
        </is>
      </c>
      <c r="J49" s="94" t="n">
        <v>30</v>
      </c>
      <c r="K49" s="94" t="n">
        <v>21</v>
      </c>
    </row>
    <row r="50" ht="15" customHeight="1" s="88">
      <c r="A50" s="90" t="n">
        <v>49</v>
      </c>
      <c r="B50" s="90" t="n">
        <v>4</v>
      </c>
      <c r="C50" s="91" t="inlineStr">
        <is>
          <t>12:30</t>
        </is>
      </c>
      <c r="D50" s="91" t="inlineStr">
        <is>
          <t>13:30</t>
        </is>
      </c>
      <c r="E50" s="92" t="inlineStr">
        <is>
          <t>Lunch &amp; Networking</t>
        </is>
      </c>
      <c r="F50" s="93" t="n"/>
      <c r="G50" s="93" t="inlineStr">
        <is>
          <t>Atrium</t>
        </is>
      </c>
      <c r="H50" s="93" t="inlineStr">
        <is>
          <t>Break</t>
        </is>
      </c>
      <c r="I50" s="93" t="inlineStr">
        <is>
          <t>all</t>
        </is>
      </c>
      <c r="J50" s="94" t="n">
        <v>200</v>
      </c>
      <c r="K50" s="94" t="n">
        <v>200</v>
      </c>
    </row>
    <row r="51" ht="15" customHeight="1" s="88">
      <c r="A51" s="95" t="n">
        <v>50</v>
      </c>
      <c r="B51" s="95" t="n">
        <v>4</v>
      </c>
      <c r="C51" s="96" t="inlineStr">
        <is>
          <t>13:30</t>
        </is>
      </c>
      <c r="D51" s="96" t="inlineStr">
        <is>
          <t>15:00</t>
        </is>
      </c>
      <c r="E51" s="97" t="inlineStr">
        <is>
          <t>Succession Planning</t>
        </is>
      </c>
      <c r="F51" s="98" t="inlineStr">
        <is>
          <t>Aisha Johnson</t>
        </is>
      </c>
      <c r="G51" s="98" t="inlineStr">
        <is>
          <t>Room A1</t>
        </is>
      </c>
      <c r="H51" s="98" t="inlineStr">
        <is>
          <t>Leadership</t>
        </is>
      </c>
      <c r="I51" s="98" t="inlineStr">
        <is>
          <t>Leadership</t>
        </is>
      </c>
      <c r="J51" s="94" t="n">
        <v>38</v>
      </c>
      <c r="K51" s="94" t="n">
        <v>26</v>
      </c>
    </row>
    <row r="52" ht="15" customHeight="1" s="88">
      <c r="A52" s="90" t="n">
        <v>51</v>
      </c>
      <c r="B52" s="90" t="n">
        <v>4</v>
      </c>
      <c r="C52" s="91" t="inlineStr">
        <is>
          <t>13:30</t>
        </is>
      </c>
      <c r="D52" s="91" t="inlineStr">
        <is>
          <t>15:00</t>
        </is>
      </c>
      <c r="E52" s="92" t="inlineStr">
        <is>
          <t>Code Review Culture</t>
        </is>
      </c>
      <c r="F52" s="93" t="inlineStr">
        <is>
          <t>Alex Novak</t>
        </is>
      </c>
      <c r="G52" s="93" t="inlineStr">
        <is>
          <t>Room B1</t>
        </is>
      </c>
      <c r="H52" s="93" t="inlineStr">
        <is>
          <t>Technical</t>
        </is>
      </c>
      <c r="I52" s="93" t="inlineStr">
        <is>
          <t>Technical</t>
        </is>
      </c>
      <c r="J52" s="94" t="n">
        <v>44</v>
      </c>
      <c r="K52" s="94" t="n">
        <v>30</v>
      </c>
    </row>
    <row r="53" ht="15" customHeight="1" s="88">
      <c r="A53" s="95" t="n">
        <v>52</v>
      </c>
      <c r="B53" s="95" t="n">
        <v>4</v>
      </c>
      <c r="C53" s="96" t="inlineStr">
        <is>
          <t>13:30</t>
        </is>
      </c>
      <c r="D53" s="96" t="inlineStr">
        <is>
          <t>15:00</t>
        </is>
      </c>
      <c r="E53" s="97" t="inlineStr">
        <is>
          <t>Design Handoff</t>
        </is>
      </c>
      <c r="F53" s="98" t="inlineStr">
        <is>
          <t>Lena Müller</t>
        </is>
      </c>
      <c r="G53" s="98" t="inlineStr">
        <is>
          <t>Room C1</t>
        </is>
      </c>
      <c r="H53" s="98" t="inlineStr">
        <is>
          <t>Design Thinking</t>
        </is>
      </c>
      <c r="I53" s="98" t="inlineStr">
        <is>
          <t>Design Thinking</t>
        </is>
      </c>
      <c r="J53" s="94" t="n">
        <v>32</v>
      </c>
      <c r="K53" s="94" t="n">
        <v>22</v>
      </c>
    </row>
    <row r="54" ht="15" customHeight="1" s="88">
      <c r="A54" s="90" t="n">
        <v>53</v>
      </c>
      <c r="B54" s="90" t="n">
        <v>4</v>
      </c>
      <c r="C54" s="91" t="inlineStr">
        <is>
          <t>13:30</t>
        </is>
      </c>
      <c r="D54" s="91" t="inlineStr">
        <is>
          <t>15:00</t>
        </is>
      </c>
      <c r="E54" s="92" t="inlineStr">
        <is>
          <t>KPI Dashboards</t>
        </is>
      </c>
      <c r="F54" s="93" t="inlineStr">
        <is>
          <t>Rachel Green</t>
        </is>
      </c>
      <c r="G54" s="93" t="inlineStr">
        <is>
          <t>Room D1</t>
        </is>
      </c>
      <c r="H54" s="93" t="inlineStr">
        <is>
          <t>Operations</t>
        </is>
      </c>
      <c r="I54" s="93" t="inlineStr">
        <is>
          <t>Operations</t>
        </is>
      </c>
      <c r="J54" s="94" t="n">
        <v>28</v>
      </c>
      <c r="K54" s="94" t="n">
        <v>19</v>
      </c>
    </row>
    <row r="55" ht="15" customHeight="1" s="88">
      <c r="A55" s="95" t="n">
        <v>54</v>
      </c>
      <c r="B55" s="95" t="n">
        <v>4</v>
      </c>
      <c r="C55" s="96" t="inlineStr">
        <is>
          <t>15:00</t>
        </is>
      </c>
      <c r="D55" s="96" t="inlineStr">
        <is>
          <t>15:30</t>
        </is>
      </c>
      <c r="E55" s="97" t="inlineStr">
        <is>
          <t>Afternoon Break</t>
        </is>
      </c>
      <c r="F55" s="98" t="n"/>
      <c r="G55" s="98" t="inlineStr">
        <is>
          <t>Atrium</t>
        </is>
      </c>
      <c r="H55" s="98" t="inlineStr">
        <is>
          <t>Break</t>
        </is>
      </c>
      <c r="I55" s="98" t="inlineStr">
        <is>
          <t>all</t>
        </is>
      </c>
      <c r="J55" s="94" t="n">
        <v>200</v>
      </c>
      <c r="K55" s="94" t="n">
        <v>200</v>
      </c>
    </row>
    <row r="56" ht="15" customHeight="1" s="88">
      <c r="A56" s="90" t="n">
        <v>55</v>
      </c>
      <c r="B56" s="90" t="n">
        <v>4</v>
      </c>
      <c r="C56" s="91" t="inlineStr">
        <is>
          <t>15:30</t>
        </is>
      </c>
      <c r="D56" s="91" t="inlineStr">
        <is>
          <t>17:00</t>
        </is>
      </c>
      <c r="E56" s="92" t="inlineStr">
        <is>
          <t>Hackathon Presentations</t>
        </is>
      </c>
      <c r="F56" s="93" t="inlineStr">
        <is>
          <t>Selected Teams</t>
        </is>
      </c>
      <c r="G56" s="93" t="inlineStr">
        <is>
          <t>Main Hall</t>
        </is>
      </c>
      <c r="H56" s="93" t="inlineStr">
        <is>
          <t>Keynote</t>
        </is>
      </c>
      <c r="I56" s="93" t="inlineStr">
        <is>
          <t>all</t>
        </is>
      </c>
      <c r="J56" s="94" t="n">
        <v>200</v>
      </c>
      <c r="K56" s="94" t="n">
        <v>140</v>
      </c>
    </row>
    <row r="57" ht="15" customHeight="1" s="88">
      <c r="A57" s="95" t="n">
        <v>56</v>
      </c>
      <c r="B57" s="95" t="n">
        <v>5</v>
      </c>
      <c r="C57" s="96" t="inlineStr">
        <is>
          <t>09:00</t>
        </is>
      </c>
      <c r="D57" s="96" t="inlineStr">
        <is>
          <t>10:30</t>
        </is>
      </c>
      <c r="E57" s="97" t="inlineStr">
        <is>
          <t>Personal Action Plans</t>
        </is>
      </c>
      <c r="F57" s="98" t="inlineStr">
        <is>
          <t>Mark Torres</t>
        </is>
      </c>
      <c r="G57" s="98" t="inlineStr">
        <is>
          <t>Room A1</t>
        </is>
      </c>
      <c r="H57" s="98" t="inlineStr">
        <is>
          <t>Leadership</t>
        </is>
      </c>
      <c r="I57" s="98" t="inlineStr">
        <is>
          <t>Leadership</t>
        </is>
      </c>
      <c r="J57" s="94" t="n">
        <v>40</v>
      </c>
      <c r="K57" s="94" t="n">
        <v>28</v>
      </c>
    </row>
    <row r="58" ht="15" customHeight="1" s="88">
      <c r="A58" s="90" t="n">
        <v>57</v>
      </c>
      <c r="B58" s="90" t="n">
        <v>5</v>
      </c>
      <c r="C58" s="91" t="inlineStr">
        <is>
          <t>09:00</t>
        </is>
      </c>
      <c r="D58" s="91" t="inlineStr">
        <is>
          <t>10:30</t>
        </is>
      </c>
      <c r="E58" s="92" t="inlineStr">
        <is>
          <t>Tech Roadmapping</t>
        </is>
      </c>
      <c r="F58" s="93" t="inlineStr">
        <is>
          <t>David Kim</t>
        </is>
      </c>
      <c r="G58" s="93" t="inlineStr">
        <is>
          <t>Room B1</t>
        </is>
      </c>
      <c r="H58" s="93" t="inlineStr">
        <is>
          <t>Technical</t>
        </is>
      </c>
      <c r="I58" s="93" t="inlineStr">
        <is>
          <t>Technical</t>
        </is>
      </c>
      <c r="J58" s="94" t="n">
        <v>46</v>
      </c>
      <c r="K58" s="94" t="n">
        <v>32</v>
      </c>
    </row>
    <row r="59" ht="15" customHeight="1" s="88">
      <c r="A59" s="95" t="n">
        <v>58</v>
      </c>
      <c r="B59" s="95" t="n">
        <v>5</v>
      </c>
      <c r="C59" s="96" t="inlineStr">
        <is>
          <t>09:00</t>
        </is>
      </c>
      <c r="D59" s="96" t="inlineStr">
        <is>
          <t>10:30</t>
        </is>
      </c>
      <c r="E59" s="97" t="inlineStr">
        <is>
          <t>Portfolio Building</t>
        </is>
      </c>
      <c r="F59" s="98" t="inlineStr">
        <is>
          <t>Carlos Ruiz</t>
        </is>
      </c>
      <c r="G59" s="98" t="inlineStr">
        <is>
          <t>Room C1</t>
        </is>
      </c>
      <c r="H59" s="98" t="inlineStr">
        <is>
          <t>Design Thinking</t>
        </is>
      </c>
      <c r="I59" s="98" t="inlineStr">
        <is>
          <t>Design Thinking</t>
        </is>
      </c>
      <c r="J59" s="94" t="n">
        <v>34</v>
      </c>
      <c r="K59" s="94" t="n">
        <v>23</v>
      </c>
    </row>
    <row r="60" ht="15" customHeight="1" s="88">
      <c r="A60" s="90" t="n">
        <v>59</v>
      </c>
      <c r="B60" s="90" t="n">
        <v>5</v>
      </c>
      <c r="C60" s="91" t="inlineStr">
        <is>
          <t>09:00</t>
        </is>
      </c>
      <c r="D60" s="91" t="inlineStr">
        <is>
          <t>10:30</t>
        </is>
      </c>
      <c r="E60" s="92" t="inlineStr">
        <is>
          <t>Continuous Improvement</t>
        </is>
      </c>
      <c r="F60" s="93" t="inlineStr">
        <is>
          <t>James Wright</t>
        </is>
      </c>
      <c r="G60" s="93" t="inlineStr">
        <is>
          <t>Room D1</t>
        </is>
      </c>
      <c r="H60" s="93" t="inlineStr">
        <is>
          <t>Operations</t>
        </is>
      </c>
      <c r="I60" s="93" t="inlineStr">
        <is>
          <t>Operations</t>
        </is>
      </c>
      <c r="J60" s="94" t="n">
        <v>30</v>
      </c>
      <c r="K60" s="94" t="n">
        <v>21</v>
      </c>
    </row>
    <row r="61" ht="15" customHeight="1" s="88">
      <c r="A61" s="95" t="n">
        <v>60</v>
      </c>
      <c r="B61" s="95" t="n">
        <v>5</v>
      </c>
      <c r="C61" s="96" t="inlineStr">
        <is>
          <t>10:30</t>
        </is>
      </c>
      <c r="D61" s="96" t="inlineStr">
        <is>
          <t>11:00</t>
        </is>
      </c>
      <c r="E61" s="97" t="inlineStr">
        <is>
          <t>Morning Break</t>
        </is>
      </c>
      <c r="F61" s="98" t="n"/>
      <c r="G61" s="98" t="inlineStr">
        <is>
          <t>Atrium</t>
        </is>
      </c>
      <c r="H61" s="98" t="inlineStr">
        <is>
          <t>Break</t>
        </is>
      </c>
      <c r="I61" s="98" t="inlineStr">
        <is>
          <t>all</t>
        </is>
      </c>
      <c r="J61" s="94" t="n">
        <v>200</v>
      </c>
      <c r="K61" s="94" t="n">
        <v>200</v>
      </c>
    </row>
    <row r="62" ht="15" customHeight="1" s="88">
      <c r="A62" s="90" t="n">
        <v>61</v>
      </c>
      <c r="B62" s="90" t="n">
        <v>5</v>
      </c>
      <c r="C62" s="91" t="inlineStr">
        <is>
          <t>11:00</t>
        </is>
      </c>
      <c r="D62" s="91" t="inlineStr">
        <is>
          <t>12:00</t>
        </is>
      </c>
      <c r="E62" s="92" t="inlineStr">
        <is>
          <t>Track Showcases</t>
        </is>
      </c>
      <c r="F62" s="93" t="inlineStr">
        <is>
          <t>Track Leads</t>
        </is>
      </c>
      <c r="G62" s="93" t="inlineStr">
        <is>
          <t>Main Hall</t>
        </is>
      </c>
      <c r="H62" s="93" t="inlineStr">
        <is>
          <t>Keynote</t>
        </is>
      </c>
      <c r="I62" s="93" t="inlineStr">
        <is>
          <t>all</t>
        </is>
      </c>
      <c r="J62" s="94" t="n">
        <v>180</v>
      </c>
      <c r="K62" s="94" t="n">
        <v>125</v>
      </c>
    </row>
    <row r="63" ht="15" customHeight="1" s="88">
      <c r="A63" s="95" t="n">
        <v>62</v>
      </c>
      <c r="B63" s="95" t="n">
        <v>5</v>
      </c>
      <c r="C63" s="96" t="inlineStr">
        <is>
          <t>12:00</t>
        </is>
      </c>
      <c r="D63" s="96" t="inlineStr">
        <is>
          <t>13:00</t>
        </is>
      </c>
      <c r="E63" s="97" t="inlineStr">
        <is>
          <t>Farewell Lunch</t>
        </is>
      </c>
      <c r="F63" s="98" t="n"/>
      <c r="G63" s="98" t="inlineStr">
        <is>
          <t>Atrium</t>
        </is>
      </c>
      <c r="H63" s="98" t="inlineStr">
        <is>
          <t>Break</t>
        </is>
      </c>
      <c r="I63" s="98" t="inlineStr">
        <is>
          <t>all</t>
        </is>
      </c>
      <c r="J63" s="94" t="n">
        <v>200</v>
      </c>
      <c r="K63" s="94" t="n">
        <v>200</v>
      </c>
    </row>
    <row r="64" ht="15" customHeight="1" s="88">
      <c r="A64" s="90" t="n">
        <v>63</v>
      </c>
      <c r="B64" s="90" t="n">
        <v>5</v>
      </c>
      <c r="C64" s="91" t="inlineStr">
        <is>
          <t>13:00</t>
        </is>
      </c>
      <c r="D64" s="91" t="inlineStr">
        <is>
          <t>14:00</t>
        </is>
      </c>
      <c r="E64" s="92" t="inlineStr">
        <is>
          <t>Closing Keynote &amp; Awards</t>
        </is>
      </c>
      <c r="F64" s="93" t="inlineStr">
        <is>
          <t>Dr. Sarah Chen</t>
        </is>
      </c>
      <c r="G64" s="93" t="inlineStr">
        <is>
          <t>Main Hall</t>
        </is>
      </c>
      <c r="H64" s="93" t="inlineStr">
        <is>
          <t>Keynote</t>
        </is>
      </c>
      <c r="I64" s="93" t="inlineStr">
        <is>
          <t>all</t>
        </is>
      </c>
      <c r="J64" s="94" t="n">
        <v>200</v>
      </c>
      <c r="K64" s="94" t="n">
        <v>140</v>
      </c>
    </row>
  </sheetData>
  <autoFilter ref="A1:K64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563EB"/>
    <outlinePr summaryBelow="1" summaryRight="1"/>
    <pageSetUpPr fitToPage="0"/>
  </sheetPr>
  <dimension ref="A1:P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87" min="1" max="1"/>
    <col width="22" customWidth="1" style="87" min="2" max="2"/>
    <col width="28" customWidth="1" style="87" min="3" max="3"/>
    <col width="20" customWidth="1" style="87" min="4" max="4"/>
    <col width="18" customWidth="1" style="87" min="5" max="5"/>
    <col width="14" customWidth="1" style="87" min="6" max="6"/>
    <col width="10" customWidth="1" style="87" min="7" max="7"/>
    <col width="20" customWidth="1" style="87" min="8" max="8"/>
    <col width="9" customWidth="1" style="87" min="9" max="13"/>
    <col width="20" customWidth="1" style="87" min="14" max="14"/>
    <col width="16" customWidth="1" style="87" min="15" max="15"/>
    <col width="20" customWidth="1" style="87" min="16" max="16"/>
  </cols>
  <sheetData>
    <row r="1" ht="30" customHeight="1" s="88">
      <c r="A1" s="99" t="inlineStr">
        <is>
          <t>ID</t>
        </is>
      </c>
      <c r="B1" s="99" t="inlineStr">
        <is>
          <t>Username</t>
        </is>
      </c>
      <c r="C1" s="99" t="inlineStr">
        <is>
          <t>Email</t>
        </is>
      </c>
      <c r="D1" s="99" t="inlineStr">
        <is>
          <t>Department</t>
        </is>
      </c>
      <c r="E1" s="99" t="inlineStr">
        <is>
          <t>Job Title</t>
        </is>
      </c>
      <c r="F1" s="99" t="inlineStr">
        <is>
          <t>Primary
Track</t>
        </is>
      </c>
      <c r="G1" s="99" t="inlineStr">
        <is>
          <t>Non-Local</t>
        </is>
      </c>
      <c r="H1" s="99" t="inlineStr">
        <is>
          <t>Hotel</t>
        </is>
      </c>
      <c r="I1" s="99" t="inlineStr">
        <is>
          <t>Day 1</t>
        </is>
      </c>
      <c r="J1" s="99" t="inlineStr">
        <is>
          <t>Day 2</t>
        </is>
      </c>
      <c r="K1" s="99" t="inlineStr">
        <is>
          <t>Day 3</t>
        </is>
      </c>
      <c r="L1" s="99" t="inlineStr">
        <is>
          <t>Day 4</t>
        </is>
      </c>
      <c r="M1" s="99" t="inlineStr">
        <is>
          <t>Day 5</t>
        </is>
      </c>
      <c r="N1" s="99" t="inlineStr">
        <is>
          <t>Emergency
Contact</t>
        </is>
      </c>
      <c r="O1" s="99" t="inlineStr">
        <is>
          <t>Emergency
Phone</t>
        </is>
      </c>
      <c r="P1" s="99" t="inlineStr">
        <is>
          <t>Notes</t>
        </is>
      </c>
    </row>
    <row r="2" ht="15" customHeight="1" s="88">
      <c r="A2" s="90" t="inlineStr">
        <is>
          <t>P001</t>
        </is>
      </c>
      <c r="B2" s="93" t="inlineStr">
        <is>
          <t>alice.martinez</t>
        </is>
      </c>
      <c r="C2" s="93" t="inlineStr">
        <is>
          <t>alice.martinez@acme.com</t>
        </is>
      </c>
      <c r="D2" s="93" t="inlineStr">
        <is>
          <t>Product</t>
        </is>
      </c>
      <c r="E2" s="93" t="inlineStr">
        <is>
          <t>Product Manager</t>
        </is>
      </c>
      <c r="F2" s="100" t="inlineStr">
        <is>
          <t>Leadership</t>
        </is>
      </c>
      <c r="G2" s="101" t="inlineStr">
        <is>
          <t>Local</t>
        </is>
      </c>
      <c r="H2" s="93" t="n"/>
      <c r="I2" s="90" t="inlineStr">
        <is>
          <t>Yes</t>
        </is>
      </c>
      <c r="J2" s="90" t="inlineStr">
        <is>
          <t>Yes</t>
        </is>
      </c>
      <c r="K2" s="90" t="inlineStr">
        <is>
          <t>Yes</t>
        </is>
      </c>
      <c r="L2" s="90" t="inlineStr">
        <is>
          <t>Yes</t>
        </is>
      </c>
      <c r="M2" s="90" t="inlineStr">
        <is>
          <t>Yes</t>
        </is>
      </c>
      <c r="N2" s="92" t="inlineStr">
        <is>
          <t>John Martinez</t>
        </is>
      </c>
      <c r="O2" s="92" t="inlineStr">
        <is>
          <t>+1-555-0101</t>
        </is>
      </c>
      <c r="P2" s="92" t="n"/>
    </row>
    <row r="3" ht="15" customHeight="1" s="88">
      <c r="A3" s="95" t="inlineStr">
        <is>
          <t>P002</t>
        </is>
      </c>
      <c r="B3" s="98" t="inlineStr">
        <is>
          <t>ben.okafor</t>
        </is>
      </c>
      <c r="C3" s="98" t="inlineStr">
        <is>
          <t>ben.okafor@techstart.io</t>
        </is>
      </c>
      <c r="D3" s="98" t="inlineStr">
        <is>
          <t>Engineering</t>
        </is>
      </c>
      <c r="E3" s="98" t="inlineStr">
        <is>
          <t>Senior Developer</t>
        </is>
      </c>
      <c r="F3" s="102" t="inlineStr">
        <is>
          <t>Technical</t>
        </is>
      </c>
      <c r="G3" s="103" t="inlineStr">
        <is>
          <t>Non-Local</t>
        </is>
      </c>
      <c r="H3" s="104" t="inlineStr">
        <is>
          <t>Hilton Downtown</t>
        </is>
      </c>
      <c r="I3" s="95" t="inlineStr">
        <is>
          <t>Yes</t>
        </is>
      </c>
      <c r="J3" s="95" t="inlineStr">
        <is>
          <t>Yes</t>
        </is>
      </c>
      <c r="K3" s="95" t="inlineStr">
        <is>
          <t>Yes</t>
        </is>
      </c>
      <c r="L3" s="95" t="inlineStr">
        <is>
          <t>Yes</t>
        </is>
      </c>
      <c r="M3" s="95" t="inlineStr">
        <is>
          <t>No</t>
        </is>
      </c>
      <c r="N3" s="97" t="inlineStr">
        <is>
          <t>Mary Okafor</t>
        </is>
      </c>
      <c r="O3" s="97" t="inlineStr">
        <is>
          <t>+1-555-0102</t>
        </is>
      </c>
      <c r="P3" s="97" t="n"/>
    </row>
    <row r="4" ht="15" customHeight="1" s="88">
      <c r="A4" s="90" t="inlineStr">
        <is>
          <t>P003</t>
        </is>
      </c>
      <c r="B4" s="93" t="inlineStr">
        <is>
          <t>clara.johansson</t>
        </is>
      </c>
      <c r="C4" s="93" t="inlineStr">
        <is>
          <t>clara.j@nordicdesign.se</t>
        </is>
      </c>
      <c r="D4" s="93" t="inlineStr">
        <is>
          <t>Design</t>
        </is>
      </c>
      <c r="E4" s="93" t="inlineStr">
        <is>
          <t>UX Lead</t>
        </is>
      </c>
      <c r="F4" s="105" t="inlineStr">
        <is>
          <t>Design Thinking</t>
        </is>
      </c>
      <c r="G4" s="103" t="inlineStr">
        <is>
          <t>Non-Local</t>
        </is>
      </c>
      <c r="H4" s="106" t="inlineStr">
        <is>
          <t>Marriott Convention</t>
        </is>
      </c>
      <c r="I4" s="90" t="inlineStr">
        <is>
          <t>Yes</t>
        </is>
      </c>
      <c r="J4" s="90" t="inlineStr">
        <is>
          <t>Yes</t>
        </is>
      </c>
      <c r="K4" s="90" t="inlineStr">
        <is>
          <t>Yes</t>
        </is>
      </c>
      <c r="L4" s="90" t="inlineStr">
        <is>
          <t>Yes</t>
        </is>
      </c>
      <c r="M4" s="90" t="inlineStr">
        <is>
          <t>Yes</t>
        </is>
      </c>
      <c r="N4" s="92" t="inlineStr">
        <is>
          <t>Erik Johansson</t>
        </is>
      </c>
      <c r="O4" s="92" t="inlineStr">
        <is>
          <t>+46-70-555-0103</t>
        </is>
      </c>
      <c r="P4" s="92" t="n"/>
    </row>
    <row r="5" ht="15" customHeight="1" s="88">
      <c r="A5" s="95" t="inlineStr">
        <is>
          <t>P004</t>
        </is>
      </c>
      <c r="B5" s="98" t="inlineStr">
        <is>
          <t>daniel.park</t>
        </is>
      </c>
      <c r="C5" s="98" t="inlineStr">
        <is>
          <t>d.park@globalops.com</t>
        </is>
      </c>
      <c r="D5" s="98" t="inlineStr">
        <is>
          <t>Operations</t>
        </is>
      </c>
      <c r="E5" s="98" t="inlineStr">
        <is>
          <t>Ops Director</t>
        </is>
      </c>
      <c r="F5" s="107" t="inlineStr">
        <is>
          <t>Operations</t>
        </is>
      </c>
      <c r="G5" s="101" t="inlineStr">
        <is>
          <t>Local</t>
        </is>
      </c>
      <c r="H5" s="98" t="n"/>
      <c r="I5" s="95" t="inlineStr">
        <is>
          <t>Yes</t>
        </is>
      </c>
      <c r="J5" s="95" t="inlineStr">
        <is>
          <t>No</t>
        </is>
      </c>
      <c r="K5" s="95" t="inlineStr">
        <is>
          <t>Yes</t>
        </is>
      </c>
      <c r="L5" s="95" t="inlineStr">
        <is>
          <t>Yes</t>
        </is>
      </c>
      <c r="M5" s="95" t="inlineStr">
        <is>
          <t>Yes</t>
        </is>
      </c>
      <c r="N5" s="97" t="inlineStr">
        <is>
          <t>Soo-Min Park</t>
        </is>
      </c>
      <c r="O5" s="97" t="inlineStr">
        <is>
          <t>+1-555-0104</t>
        </is>
      </c>
      <c r="P5" s="97" t="n"/>
    </row>
    <row r="6" ht="15" customHeight="1" s="88">
      <c r="A6" s="90" t="inlineStr">
        <is>
          <t>P005</t>
        </is>
      </c>
      <c r="B6" s="93" t="inlineStr">
        <is>
          <t>elena.rossi</t>
        </is>
      </c>
      <c r="C6" s="93" t="inlineStr">
        <is>
          <t>e.rossi@finserv.it</t>
        </is>
      </c>
      <c r="D6" s="93" t="inlineStr">
        <is>
          <t>Strategy</t>
        </is>
      </c>
      <c r="E6" s="93" t="inlineStr">
        <is>
          <t>Team Lead</t>
        </is>
      </c>
      <c r="F6" s="100" t="inlineStr">
        <is>
          <t>Leadership</t>
        </is>
      </c>
      <c r="G6" s="103" t="inlineStr">
        <is>
          <t>Non-Local</t>
        </is>
      </c>
      <c r="H6" s="106" t="inlineStr">
        <is>
          <t>Hyatt Regency</t>
        </is>
      </c>
      <c r="I6" s="90" t="inlineStr">
        <is>
          <t>Yes</t>
        </is>
      </c>
      <c r="J6" s="90" t="inlineStr">
        <is>
          <t>Yes</t>
        </is>
      </c>
      <c r="K6" s="90" t="inlineStr">
        <is>
          <t>No</t>
        </is>
      </c>
      <c r="L6" s="90" t="inlineStr">
        <is>
          <t>Yes</t>
        </is>
      </c>
      <c r="M6" s="90" t="inlineStr">
        <is>
          <t>Yes</t>
        </is>
      </c>
      <c r="N6" s="92" t="inlineStr">
        <is>
          <t>Marco Rossi</t>
        </is>
      </c>
      <c r="O6" s="92" t="inlineStr">
        <is>
          <t>+39-555-0105</t>
        </is>
      </c>
      <c r="P6" s="92" t="n"/>
    </row>
    <row r="7" ht="15" customHeight="1" s="88">
      <c r="A7" s="95" t="inlineStr">
        <is>
          <t>P006</t>
        </is>
      </c>
      <c r="B7" s="98" t="inlineStr">
        <is>
          <t>fatima.alhassan</t>
        </is>
      </c>
      <c r="C7" s="98" t="inlineStr">
        <is>
          <t>f.alhassan@govtech.ae</t>
        </is>
      </c>
      <c r="D7" s="98" t="inlineStr">
        <is>
          <t>Engineering</t>
        </is>
      </c>
      <c r="E7" s="98" t="inlineStr">
        <is>
          <t>Systems Architect</t>
        </is>
      </c>
      <c r="F7" s="102" t="inlineStr">
        <is>
          <t>Technical</t>
        </is>
      </c>
      <c r="G7" s="103" t="inlineStr">
        <is>
          <t>Non-Local</t>
        </is>
      </c>
      <c r="H7" s="104" t="inlineStr">
        <is>
          <t>Hilton Downtown</t>
        </is>
      </c>
      <c r="I7" s="95" t="inlineStr">
        <is>
          <t>Yes</t>
        </is>
      </c>
      <c r="J7" s="95" t="inlineStr">
        <is>
          <t>Yes</t>
        </is>
      </c>
      <c r="K7" s="95" t="inlineStr">
        <is>
          <t>Yes</t>
        </is>
      </c>
      <c r="L7" s="95" t="inlineStr">
        <is>
          <t>Yes</t>
        </is>
      </c>
      <c r="M7" s="95" t="inlineStr">
        <is>
          <t>Yes</t>
        </is>
      </c>
      <c r="N7" s="97" t="inlineStr">
        <is>
          <t>Ahmed Al-Hassan</t>
        </is>
      </c>
      <c r="O7" s="97" t="inlineStr">
        <is>
          <t>+971-55-0106</t>
        </is>
      </c>
      <c r="P7" s="97" t="n"/>
    </row>
    <row r="8" ht="15" customHeight="1" s="88">
      <c r="A8" s="90" t="inlineStr">
        <is>
          <t>P007</t>
        </is>
      </c>
      <c r="B8" s="93" t="inlineStr">
        <is>
          <t>george.chen</t>
        </is>
      </c>
      <c r="C8" s="93" t="inlineStr">
        <is>
          <t>g.chen@startuplab.cn</t>
        </is>
      </c>
      <c r="D8" s="93" t="inlineStr">
        <is>
          <t>Design</t>
        </is>
      </c>
      <c r="E8" s="93" t="inlineStr">
        <is>
          <t>Design Director</t>
        </is>
      </c>
      <c r="F8" s="105" t="inlineStr">
        <is>
          <t>Design Thinking</t>
        </is>
      </c>
      <c r="G8" s="103" t="inlineStr">
        <is>
          <t>Non-Local</t>
        </is>
      </c>
      <c r="H8" s="106" t="inlineStr">
        <is>
          <t>Marriott Convention</t>
        </is>
      </c>
      <c r="I8" s="90" t="inlineStr">
        <is>
          <t>Yes</t>
        </is>
      </c>
      <c r="J8" s="90" t="inlineStr">
        <is>
          <t>Yes</t>
        </is>
      </c>
      <c r="K8" s="90" t="inlineStr">
        <is>
          <t>Yes</t>
        </is>
      </c>
      <c r="L8" s="90" t="inlineStr">
        <is>
          <t>No</t>
        </is>
      </c>
      <c r="M8" s="90" t="inlineStr">
        <is>
          <t>Yes</t>
        </is>
      </c>
      <c r="N8" s="92" t="inlineStr">
        <is>
          <t>Wei Chen</t>
        </is>
      </c>
      <c r="O8" s="92" t="inlineStr">
        <is>
          <t>+86-138-0107</t>
        </is>
      </c>
      <c r="P8" s="92" t="n"/>
    </row>
    <row r="9" ht="15" customHeight="1" s="88">
      <c r="A9" s="95" t="inlineStr">
        <is>
          <t>P008</t>
        </is>
      </c>
      <c r="B9" s="98" t="inlineStr">
        <is>
          <t>hannah.weber</t>
        </is>
      </c>
      <c r="C9" s="98" t="inlineStr">
        <is>
          <t>h.weber@logicorp.de</t>
        </is>
      </c>
      <c r="D9" s="98" t="inlineStr">
        <is>
          <t>Operations</t>
        </is>
      </c>
      <c r="E9" s="98" t="inlineStr">
        <is>
          <t>Process Engineer</t>
        </is>
      </c>
      <c r="F9" s="107" t="inlineStr">
        <is>
          <t>Operations</t>
        </is>
      </c>
      <c r="G9" s="103" t="inlineStr">
        <is>
          <t>Non-Local</t>
        </is>
      </c>
      <c r="H9" s="104" t="inlineStr">
        <is>
          <t>Holiday Inn Express</t>
        </is>
      </c>
      <c r="I9" s="95" t="inlineStr">
        <is>
          <t>Yes</t>
        </is>
      </c>
      <c r="J9" s="95" t="inlineStr">
        <is>
          <t>Yes</t>
        </is>
      </c>
      <c r="K9" s="95" t="inlineStr">
        <is>
          <t>Yes</t>
        </is>
      </c>
      <c r="L9" s="95" t="inlineStr">
        <is>
          <t>Yes</t>
        </is>
      </c>
      <c r="M9" s="95" t="inlineStr">
        <is>
          <t>Yes</t>
        </is>
      </c>
      <c r="N9" s="97" t="inlineStr">
        <is>
          <t>Thomas Weber</t>
        </is>
      </c>
      <c r="O9" s="97" t="inlineStr">
        <is>
          <t>+49-170-0108</t>
        </is>
      </c>
      <c r="P9" s="97" t="n"/>
    </row>
    <row r="10" ht="15" customHeight="1" s="88">
      <c r="A10" s="90" t="inlineStr">
        <is>
          <t>P009</t>
        </is>
      </c>
      <c r="B10" s="93" t="inlineStr">
        <is>
          <t>ibrahim.diallo</t>
        </is>
      </c>
      <c r="C10" s="93" t="inlineStr">
        <is>
          <t>i.diallo@afrotech.sn</t>
        </is>
      </c>
      <c r="D10" s="93" t="inlineStr">
        <is>
          <t>Engineering</t>
        </is>
      </c>
      <c r="E10" s="93" t="inlineStr">
        <is>
          <t>Eng. Manager</t>
        </is>
      </c>
      <c r="F10" s="102" t="inlineStr">
        <is>
          <t>Technical</t>
        </is>
      </c>
      <c r="G10" s="103" t="inlineStr">
        <is>
          <t>Non-Local</t>
        </is>
      </c>
      <c r="H10" s="106" t="inlineStr">
        <is>
          <t>Hyatt Regency</t>
        </is>
      </c>
      <c r="I10" s="90" t="inlineStr">
        <is>
          <t>No</t>
        </is>
      </c>
      <c r="J10" s="90" t="inlineStr">
        <is>
          <t>Yes</t>
        </is>
      </c>
      <c r="K10" s="90" t="inlineStr">
        <is>
          <t>Yes</t>
        </is>
      </c>
      <c r="L10" s="90" t="inlineStr">
        <is>
          <t>Yes</t>
        </is>
      </c>
      <c r="M10" s="90" t="inlineStr">
        <is>
          <t>Yes</t>
        </is>
      </c>
      <c r="N10" s="92" t="inlineStr">
        <is>
          <t>Aminata Diallo</t>
        </is>
      </c>
      <c r="O10" s="92" t="inlineStr">
        <is>
          <t>+221-77-0109</t>
        </is>
      </c>
      <c r="P10" s="92" t="n"/>
    </row>
    <row r="11" ht="15" customHeight="1" s="88">
      <c r="A11" s="95" t="inlineStr">
        <is>
          <t>P010</t>
        </is>
      </c>
      <c r="B11" s="98" t="inlineStr">
        <is>
          <t>julia.fernandez</t>
        </is>
      </c>
      <c r="C11" s="98" t="inlineStr">
        <is>
          <t>j.fernandez@consulta.mx</t>
        </is>
      </c>
      <c r="D11" s="98" t="inlineStr">
        <is>
          <t>Strategy</t>
        </is>
      </c>
      <c r="E11" s="98" t="inlineStr">
        <is>
          <t>Strategy Consultant</t>
        </is>
      </c>
      <c r="F11" s="100" t="inlineStr">
        <is>
          <t>Leadership</t>
        </is>
      </c>
      <c r="G11" s="103" t="inlineStr">
        <is>
          <t>Non-Local</t>
        </is>
      </c>
      <c r="H11" s="104" t="inlineStr">
        <is>
          <t>Hilton Downtown</t>
        </is>
      </c>
      <c r="I11" s="95" t="inlineStr">
        <is>
          <t>Yes</t>
        </is>
      </c>
      <c r="J11" s="95" t="inlineStr">
        <is>
          <t>Yes</t>
        </is>
      </c>
      <c r="K11" s="95" t="inlineStr">
        <is>
          <t>Yes</t>
        </is>
      </c>
      <c r="L11" s="95" t="inlineStr">
        <is>
          <t>Yes</t>
        </is>
      </c>
      <c r="M11" s="95" t="inlineStr">
        <is>
          <t>Yes</t>
        </is>
      </c>
      <c r="N11" s="97" t="inlineStr">
        <is>
          <t>Roberto Fernandez</t>
        </is>
      </c>
      <c r="O11" s="97" t="inlineStr">
        <is>
          <t>+52-55-0110</t>
        </is>
      </c>
      <c r="P11" s="97" t="n"/>
    </row>
    <row r="12" ht="15" customHeight="1" s="88">
      <c r="A12" s="90" t="inlineStr">
        <is>
          <t>P011</t>
        </is>
      </c>
      <c r="B12" s="93" t="inlineStr">
        <is>
          <t>kevin.obrien</t>
        </is>
      </c>
      <c r="C12" s="93" t="inlineStr">
        <is>
          <t>k.obrien@dublinsoft.ie</t>
        </is>
      </c>
      <c r="D12" s="93" t="inlineStr">
        <is>
          <t>Engineering</t>
        </is>
      </c>
      <c r="E12" s="93" t="inlineStr">
        <is>
          <t>DevOps Lead</t>
        </is>
      </c>
      <c r="F12" s="102" t="inlineStr">
        <is>
          <t>Technical</t>
        </is>
      </c>
      <c r="G12" s="103" t="inlineStr">
        <is>
          <t>Non-Local</t>
        </is>
      </c>
      <c r="H12" s="106" t="inlineStr">
        <is>
          <t>Marriott Convention</t>
        </is>
      </c>
      <c r="I12" s="90" t="inlineStr">
        <is>
          <t>Yes</t>
        </is>
      </c>
      <c r="J12" s="90" t="inlineStr">
        <is>
          <t>Yes</t>
        </is>
      </c>
      <c r="K12" s="90" t="inlineStr">
        <is>
          <t>Yes</t>
        </is>
      </c>
      <c r="L12" s="90" t="inlineStr">
        <is>
          <t>Yes</t>
        </is>
      </c>
      <c r="M12" s="90" t="inlineStr">
        <is>
          <t>No</t>
        </is>
      </c>
      <c r="N12" s="92" t="inlineStr">
        <is>
          <t>Siobhan O'Brien</t>
        </is>
      </c>
      <c r="O12" s="92" t="inlineStr">
        <is>
          <t>+353-86-0111</t>
        </is>
      </c>
      <c r="P12" s="92" t="n"/>
    </row>
    <row r="13" ht="15" customHeight="1" s="88">
      <c r="A13" s="95" t="inlineStr">
        <is>
          <t>P012</t>
        </is>
      </c>
      <c r="B13" s="98" t="inlineStr">
        <is>
          <t>lina.nakamura</t>
        </is>
      </c>
      <c r="C13" s="98" t="inlineStr">
        <is>
          <t>l.nakamura@tokyoux.jp</t>
        </is>
      </c>
      <c r="D13" s="98" t="inlineStr">
        <is>
          <t>Design</t>
        </is>
      </c>
      <c r="E13" s="98" t="inlineStr">
        <is>
          <t>Service Designer</t>
        </is>
      </c>
      <c r="F13" s="105" t="inlineStr">
        <is>
          <t>Design Thinking</t>
        </is>
      </c>
      <c r="G13" s="103" t="inlineStr">
        <is>
          <t>Non-Local</t>
        </is>
      </c>
      <c r="H13" s="104" t="inlineStr">
        <is>
          <t>Holiday Inn Express</t>
        </is>
      </c>
      <c r="I13" s="95" t="inlineStr">
        <is>
          <t>Yes</t>
        </is>
      </c>
      <c r="J13" s="95" t="inlineStr">
        <is>
          <t>No</t>
        </is>
      </c>
      <c r="K13" s="95" t="inlineStr">
        <is>
          <t>Yes</t>
        </is>
      </c>
      <c r="L13" s="95" t="inlineStr">
        <is>
          <t>Yes</t>
        </is>
      </c>
      <c r="M13" s="95" t="inlineStr">
        <is>
          <t>Yes</t>
        </is>
      </c>
      <c r="N13" s="97" t="inlineStr">
        <is>
          <t>Yuki Nakamura</t>
        </is>
      </c>
      <c r="O13" s="97" t="inlineStr">
        <is>
          <t>+81-90-0112</t>
        </is>
      </c>
      <c r="P13" s="97" t="n"/>
    </row>
    <row r="14" ht="15" customHeight="1" s="88">
      <c r="A14" s="90" t="inlineStr">
        <is>
          <t>P013</t>
        </is>
      </c>
      <c r="B14" s="93" t="inlineStr">
        <is>
          <t>marcus.brown</t>
        </is>
      </c>
      <c r="C14" s="93" t="inlineStr">
        <is>
          <t>m.brown@opscenter.us</t>
        </is>
      </c>
      <c r="D14" s="93" t="inlineStr">
        <is>
          <t>Logistics</t>
        </is>
      </c>
      <c r="E14" s="93" t="inlineStr">
        <is>
          <t>Logistics Mgr</t>
        </is>
      </c>
      <c r="F14" s="107" t="inlineStr">
        <is>
          <t>Operations</t>
        </is>
      </c>
      <c r="G14" s="101" t="inlineStr">
        <is>
          <t>Local</t>
        </is>
      </c>
      <c r="H14" s="93" t="n"/>
      <c r="I14" s="90" t="inlineStr">
        <is>
          <t>Yes</t>
        </is>
      </c>
      <c r="J14" s="90" t="inlineStr">
        <is>
          <t>Yes</t>
        </is>
      </c>
      <c r="K14" s="90" t="inlineStr">
        <is>
          <t>Yes</t>
        </is>
      </c>
      <c r="L14" s="90" t="inlineStr">
        <is>
          <t>Yes</t>
        </is>
      </c>
      <c r="M14" s="90" t="inlineStr">
        <is>
          <t>Yes</t>
        </is>
      </c>
      <c r="N14" s="92" t="inlineStr">
        <is>
          <t>Sarah Brown</t>
        </is>
      </c>
      <c r="O14" s="92" t="inlineStr">
        <is>
          <t>+1-555-0113</t>
        </is>
      </c>
      <c r="P14" s="92" t="n"/>
    </row>
    <row r="15" ht="15" customHeight="1" s="88">
      <c r="A15" s="95" t="inlineStr">
        <is>
          <t>P014</t>
        </is>
      </c>
      <c r="B15" s="98" t="inlineStr">
        <is>
          <t>nadia.kovalenko</t>
        </is>
      </c>
      <c r="C15" s="98" t="inlineStr">
        <is>
          <t>n.kovalenko@dataflow.ua</t>
        </is>
      </c>
      <c r="D15" s="98" t="inlineStr">
        <is>
          <t>Data</t>
        </is>
      </c>
      <c r="E15" s="98" t="inlineStr">
        <is>
          <t>Data Engineer</t>
        </is>
      </c>
      <c r="F15" s="102" t="inlineStr">
        <is>
          <t>Technical</t>
        </is>
      </c>
      <c r="G15" s="103" t="inlineStr">
        <is>
          <t>Non-Local</t>
        </is>
      </c>
      <c r="H15" s="104" t="inlineStr">
        <is>
          <t>Hyatt Regency</t>
        </is>
      </c>
      <c r="I15" s="95" t="inlineStr">
        <is>
          <t>Yes</t>
        </is>
      </c>
      <c r="J15" s="95" t="inlineStr">
        <is>
          <t>Yes</t>
        </is>
      </c>
      <c r="K15" s="95" t="inlineStr">
        <is>
          <t>Yes</t>
        </is>
      </c>
      <c r="L15" s="95" t="inlineStr">
        <is>
          <t>Yes</t>
        </is>
      </c>
      <c r="M15" s="95" t="inlineStr">
        <is>
          <t>Yes</t>
        </is>
      </c>
      <c r="N15" s="97" t="inlineStr">
        <is>
          <t>Oleksandr K.</t>
        </is>
      </c>
      <c r="O15" s="97" t="inlineStr">
        <is>
          <t>+380-67-0114</t>
        </is>
      </c>
      <c r="P15" s="97" t="n"/>
    </row>
    <row r="16" ht="15" customHeight="1" s="88">
      <c r="A16" s="90" t="inlineStr">
        <is>
          <t>P015</t>
        </is>
      </c>
      <c r="B16" s="93" t="inlineStr">
        <is>
          <t>oscar.lindgren</t>
        </is>
      </c>
      <c r="C16" s="93" t="inlineStr">
        <is>
          <t>o.lindgren@greentech.se</t>
        </is>
      </c>
      <c r="D16" s="93" t="inlineStr">
        <is>
          <t>Sustainability</t>
        </is>
      </c>
      <c r="E16" s="93" t="inlineStr">
        <is>
          <t>Sustainability Lead</t>
        </is>
      </c>
      <c r="F16" s="107" t="inlineStr">
        <is>
          <t>Operations</t>
        </is>
      </c>
      <c r="G16" s="103" t="inlineStr">
        <is>
          <t>Non-Local</t>
        </is>
      </c>
      <c r="H16" s="106" t="inlineStr">
        <is>
          <t>Marriott Convention</t>
        </is>
      </c>
      <c r="I16" s="90" t="inlineStr">
        <is>
          <t>Yes</t>
        </is>
      </c>
      <c r="J16" s="90" t="inlineStr">
        <is>
          <t>Yes</t>
        </is>
      </c>
      <c r="K16" s="90" t="inlineStr">
        <is>
          <t>No</t>
        </is>
      </c>
      <c r="L16" s="90" t="inlineStr">
        <is>
          <t>Yes</t>
        </is>
      </c>
      <c r="M16" s="90" t="inlineStr">
        <is>
          <t>Yes</t>
        </is>
      </c>
      <c r="N16" s="92" t="inlineStr">
        <is>
          <t>Anna Lindgren</t>
        </is>
      </c>
      <c r="O16" s="92" t="inlineStr">
        <is>
          <t>+46-73-0115</t>
        </is>
      </c>
      <c r="P16" s="92" t="n"/>
    </row>
    <row r="17" ht="15" customHeight="1" s="88">
      <c r="A17" s="95" t="inlineStr">
        <is>
          <t>P016</t>
        </is>
      </c>
      <c r="B17" s="98" t="inlineStr">
        <is>
          <t>priya.menon</t>
        </is>
      </c>
      <c r="C17" s="98" t="inlineStr">
        <is>
          <t>p.menon@cloudnine.in</t>
        </is>
      </c>
      <c r="D17" s="98" t="inlineStr">
        <is>
          <t>Engineering</t>
        </is>
      </c>
      <c r="E17" s="98" t="inlineStr">
        <is>
          <t>VP Engineering</t>
        </is>
      </c>
      <c r="F17" s="102" t="inlineStr">
        <is>
          <t>Technical</t>
        </is>
      </c>
      <c r="G17" s="103" t="inlineStr">
        <is>
          <t>Non-Local</t>
        </is>
      </c>
      <c r="H17" s="104" t="inlineStr">
        <is>
          <t>Hilton Downtown</t>
        </is>
      </c>
      <c r="I17" s="95" t="inlineStr">
        <is>
          <t>Yes</t>
        </is>
      </c>
      <c r="J17" s="95" t="inlineStr">
        <is>
          <t>Yes</t>
        </is>
      </c>
      <c r="K17" s="95" t="inlineStr">
        <is>
          <t>Yes</t>
        </is>
      </c>
      <c r="L17" s="95" t="inlineStr">
        <is>
          <t>Yes</t>
        </is>
      </c>
      <c r="M17" s="95" t="inlineStr">
        <is>
          <t>Yes</t>
        </is>
      </c>
      <c r="N17" s="97" t="inlineStr">
        <is>
          <t>Raj Menon</t>
        </is>
      </c>
      <c r="O17" s="97" t="inlineStr">
        <is>
          <t>+91-98-0116</t>
        </is>
      </c>
      <c r="P17" s="97" t="n"/>
    </row>
    <row r="18" ht="15" customHeight="1" s="88">
      <c r="A18" s="90" t="inlineStr">
        <is>
          <t>P017</t>
        </is>
      </c>
      <c r="B18" s="93" t="inlineStr">
        <is>
          <t>quentin.dubois</t>
        </is>
      </c>
      <c r="C18" s="93" t="inlineStr">
        <is>
          <t>q.dubois@parislab.fr</t>
        </is>
      </c>
      <c r="D18" s="93" t="inlineStr">
        <is>
          <t>Innovation</t>
        </is>
      </c>
      <c r="E18" s="93" t="inlineStr">
        <is>
          <t>Innovation Lead</t>
        </is>
      </c>
      <c r="F18" s="105" t="inlineStr">
        <is>
          <t>Design Thinking</t>
        </is>
      </c>
      <c r="G18" s="103" t="inlineStr">
        <is>
          <t>Non-Local</t>
        </is>
      </c>
      <c r="H18" s="106" t="inlineStr">
        <is>
          <t>Holiday Inn Express</t>
        </is>
      </c>
      <c r="I18" s="90" t="inlineStr">
        <is>
          <t>Yes</t>
        </is>
      </c>
      <c r="J18" s="90" t="inlineStr">
        <is>
          <t>Yes</t>
        </is>
      </c>
      <c r="K18" s="90" t="inlineStr">
        <is>
          <t>Yes</t>
        </is>
      </c>
      <c r="L18" s="90" t="inlineStr">
        <is>
          <t>Yes</t>
        </is>
      </c>
      <c r="M18" s="90" t="inlineStr">
        <is>
          <t>No</t>
        </is>
      </c>
      <c r="N18" s="92" t="inlineStr">
        <is>
          <t>Marie Dubois</t>
        </is>
      </c>
      <c r="O18" s="92" t="inlineStr">
        <is>
          <t>+33-6-0117</t>
        </is>
      </c>
      <c r="P18" s="92" t="n"/>
    </row>
    <row r="19" ht="15" customHeight="1" s="88">
      <c r="A19" s="95" t="inlineStr">
        <is>
          <t>P018</t>
        </is>
      </c>
      <c r="B19" s="98" t="inlineStr">
        <is>
          <t>rachel.kim</t>
        </is>
      </c>
      <c r="C19" s="98" t="inlineStr">
        <is>
          <t>r.kim@seoultech.kr</t>
        </is>
      </c>
      <c r="D19" s="98" t="inlineStr">
        <is>
          <t>Operations</t>
        </is>
      </c>
      <c r="E19" s="98" t="inlineStr">
        <is>
          <t>Project Manager</t>
        </is>
      </c>
      <c r="F19" s="107" t="inlineStr">
        <is>
          <t>Operations</t>
        </is>
      </c>
      <c r="G19" s="103" t="inlineStr">
        <is>
          <t>Non-Local</t>
        </is>
      </c>
      <c r="H19" s="104" t="inlineStr">
        <is>
          <t>Hilton Downtown</t>
        </is>
      </c>
      <c r="I19" s="95" t="inlineStr">
        <is>
          <t>Yes</t>
        </is>
      </c>
      <c r="J19" s="95" t="inlineStr">
        <is>
          <t>Yes</t>
        </is>
      </c>
      <c r="K19" s="95" t="inlineStr">
        <is>
          <t>Yes</t>
        </is>
      </c>
      <c r="L19" s="95" t="inlineStr">
        <is>
          <t>Yes</t>
        </is>
      </c>
      <c r="M19" s="95" t="inlineStr">
        <is>
          <t>Yes</t>
        </is>
      </c>
      <c r="N19" s="97" t="inlineStr">
        <is>
          <t>Jun Kim</t>
        </is>
      </c>
      <c r="O19" s="97" t="inlineStr">
        <is>
          <t>+82-10-0118</t>
        </is>
      </c>
      <c r="P19" s="97" t="n"/>
    </row>
    <row r="20" ht="15" customHeight="1" s="88">
      <c r="A20" s="90" t="inlineStr">
        <is>
          <t>P019</t>
        </is>
      </c>
      <c r="B20" s="93" t="inlineStr">
        <is>
          <t>sam.adeyemi</t>
        </is>
      </c>
      <c r="C20" s="93" t="inlineStr">
        <is>
          <t>s.adeyemi@lagosops.ng</t>
        </is>
      </c>
      <c r="D20" s="93" t="inlineStr">
        <is>
          <t>Executive</t>
        </is>
      </c>
      <c r="E20" s="93" t="inlineStr">
        <is>
          <t>COO</t>
        </is>
      </c>
      <c r="F20" s="100" t="inlineStr">
        <is>
          <t>Leadership</t>
        </is>
      </c>
      <c r="G20" s="103" t="inlineStr">
        <is>
          <t>Non-Local</t>
        </is>
      </c>
      <c r="H20" s="106" t="inlineStr">
        <is>
          <t>Hyatt Regency</t>
        </is>
      </c>
      <c r="I20" s="90" t="inlineStr">
        <is>
          <t>Yes</t>
        </is>
      </c>
      <c r="J20" s="90" t="inlineStr">
        <is>
          <t>Yes</t>
        </is>
      </c>
      <c r="K20" s="90" t="inlineStr">
        <is>
          <t>Yes</t>
        </is>
      </c>
      <c r="L20" s="90" t="inlineStr">
        <is>
          <t>No</t>
        </is>
      </c>
      <c r="M20" s="90" t="inlineStr">
        <is>
          <t>Yes</t>
        </is>
      </c>
      <c r="N20" s="92" t="inlineStr">
        <is>
          <t>Grace Adeyemi</t>
        </is>
      </c>
      <c r="O20" s="92" t="inlineStr">
        <is>
          <t>+234-80-0119</t>
        </is>
      </c>
      <c r="P20" s="92" t="n"/>
    </row>
    <row r="21" ht="15" customHeight="1" s="88">
      <c r="A21" s="95" t="inlineStr">
        <is>
          <t>P020</t>
        </is>
      </c>
      <c r="B21" s="98" t="inlineStr">
        <is>
          <t>tara.singh</t>
        </is>
      </c>
      <c r="C21" s="98" t="inlineStr">
        <is>
          <t>t.singh@quantumleap.ca</t>
        </is>
      </c>
      <c r="D21" s="98" t="inlineStr">
        <is>
          <t>Engineering</t>
        </is>
      </c>
      <c r="E21" s="98" t="inlineStr">
        <is>
          <t>CTO</t>
        </is>
      </c>
      <c r="F21" s="102" t="inlineStr">
        <is>
          <t>Technical</t>
        </is>
      </c>
      <c r="G21" s="101" t="inlineStr">
        <is>
          <t>Local</t>
        </is>
      </c>
      <c r="H21" s="98" t="n"/>
      <c r="I21" s="95" t="inlineStr">
        <is>
          <t>Yes</t>
        </is>
      </c>
      <c r="J21" s="95" t="inlineStr">
        <is>
          <t>Yes</t>
        </is>
      </c>
      <c r="K21" s="95" t="inlineStr">
        <is>
          <t>Yes</t>
        </is>
      </c>
      <c r="L21" s="95" t="inlineStr">
        <is>
          <t>Yes</t>
        </is>
      </c>
      <c r="M21" s="95" t="inlineStr">
        <is>
          <t>Yes</t>
        </is>
      </c>
      <c r="N21" s="97" t="inlineStr">
        <is>
          <t>Arjun Singh</t>
        </is>
      </c>
      <c r="O21" s="97" t="inlineStr">
        <is>
          <t>+1-604-0120</t>
        </is>
      </c>
      <c r="P21" s="97" t="n"/>
    </row>
  </sheetData>
  <autoFilter ref="A1:P21"/>
  <conditionalFormatting sqref="I2:I51">
    <cfRule type="cellIs" rank="0" priority="2" equalAverage="0" operator="equal" aboveAverage="0" dxfId="19" text="" percent="0" bottom="0">
      <formula>"Yes"</formula>
    </cfRule>
    <cfRule type="cellIs" rank="0" priority="3" equalAverage="0" operator="equal" aboveAverage="0" dxfId="20" text="" percent="0" bottom="0">
      <formula>"No"</formula>
    </cfRule>
  </conditionalFormatting>
  <conditionalFormatting sqref="J2:J51">
    <cfRule type="cellIs" rank="0" priority="4" equalAverage="0" operator="equal" aboveAverage="0" dxfId="19" text="" percent="0" bottom="0">
      <formula>"Yes"</formula>
    </cfRule>
    <cfRule type="cellIs" rank="0" priority="5" equalAverage="0" operator="equal" aboveAverage="0" dxfId="20" text="" percent="0" bottom="0">
      <formula>"No"</formula>
    </cfRule>
  </conditionalFormatting>
  <conditionalFormatting sqref="K2:K51">
    <cfRule type="cellIs" rank="0" priority="6" equalAverage="0" operator="equal" aboveAverage="0" dxfId="19" text="" percent="0" bottom="0">
      <formula>"Yes"</formula>
    </cfRule>
    <cfRule type="cellIs" rank="0" priority="7" equalAverage="0" operator="equal" aboveAverage="0" dxfId="20" text="" percent="0" bottom="0">
      <formula>"No"</formula>
    </cfRule>
  </conditionalFormatting>
  <conditionalFormatting sqref="L2:L51">
    <cfRule type="cellIs" rank="0" priority="8" equalAverage="0" operator="equal" aboveAverage="0" dxfId="19" text="" percent="0" bottom="0">
      <formula>"Yes"</formula>
    </cfRule>
    <cfRule type="cellIs" rank="0" priority="9" equalAverage="0" operator="equal" aboveAverage="0" dxfId="20" text="" percent="0" bottom="0">
      <formula>"No"</formula>
    </cfRule>
  </conditionalFormatting>
  <conditionalFormatting sqref="M2:M51">
    <cfRule type="cellIs" rank="0" priority="10" equalAverage="0" operator="equal" aboveAverage="0" dxfId="19" text="" percent="0" bottom="0">
      <formula>"Yes"</formula>
    </cfRule>
    <cfRule type="cellIs" rank="0" priority="11" equalAverage="0" operator="equal" aboveAverage="0" dxfId="20" text="" percent="0" bottom="0">
      <formula>"No"</formula>
    </cfRule>
  </conditionalFormatting>
  <conditionalFormatting sqref="G2:G51">
    <cfRule type="cellIs" rank="0" priority="12" equalAverage="0" operator="equal" aboveAverage="0" dxfId="21" text="" percent="0" bottom="0">
      <formula>"Non-Local"</formula>
    </cfRule>
    <cfRule type="cellIs" rank="0" priority="13" equalAverage="0" operator="equal" aboveAverage="0" dxfId="19" text="" percent="0" bottom="0">
      <formula>"Local"</formula>
    </cfRule>
  </conditionalFormatting>
  <dataValidations count="3">
    <dataValidation sqref="I2:M51" showDropDown="0" showInputMessage="0" showErrorMessage="0" allowBlank="1" type="list" errorStyle="stop" operator="between">
      <formula1>"Yes,No"</formula1>
      <formula2>0</formula2>
    </dataValidation>
    <dataValidation sqref="G2:G51" showDropDown="0" showInputMessage="0" showErrorMessage="0" allowBlank="1" type="list" errorStyle="stop" operator="between">
      <formula1>"Local,Non-Local"</formula1>
      <formula2>0</formula2>
    </dataValidation>
    <dataValidation sqref="F2:F51" showDropDown="0" showInputMessage="0" showErrorMessage="0" allowBlank="1" errorTitle="Invalid Track" error="Please select a track from the agenda. If your track is missing, add it to SessionDB first." promptTitle="Select Track" prompt="Tracks auto-populated from SessionDB" type="list" errorStyle="stop" operator="between">
      <formula1>SessionDB!$R$2:$R$20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7C3AED"/>
    <outlinePr summaryBelow="1" summaryRight="1"/>
    <pageSetUpPr fitToPage="0"/>
  </sheetPr>
  <dimension ref="A1:H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87" min="1" max="1"/>
    <col width="14" customWidth="1" style="87" min="2" max="2"/>
    <col width="4" customWidth="1" style="87" min="3" max="3"/>
    <col width="30" customWidth="1" style="87" min="4" max="4"/>
    <col width="14" customWidth="1" style="87" min="5" max="5"/>
    <col hidden="1" width="2" customWidth="1" style="87" min="7" max="8"/>
  </cols>
  <sheetData>
    <row r="1" ht="39.75" customHeight="1" s="88">
      <c r="A1" s="108" t="inlineStr">
        <is>
          <t>PARTICIPANTS STATISTICS</t>
        </is>
      </c>
      <c r="G1" s="87" t="inlineStr">
        <is>
          <t>HotelList</t>
        </is>
      </c>
      <c r="H1" s="87" t="inlineStr">
        <is>
          <t>DeptList</t>
        </is>
      </c>
    </row>
    <row r="2" ht="15" customHeight="1" s="88">
      <c r="G2" s="87">
        <f>sort(unique(filter(ParticipantsDB!H2:H200,(ParticipantsDB!H2:H200&lt;&gt;"")*(LEN(ParticipantsDB!H2:H200)&gt;0))))</f>
        <v/>
      </c>
      <c r="H2" s="87">
        <f>sort(unique(filter(ParticipantsDB!D2:D200,(ParticipantsDB!D2:D200&lt;&gt;"")*(LEN(ParticipantsDB!D2:D200)&gt;0))))</f>
        <v/>
      </c>
    </row>
    <row r="3" ht="31.5" customHeight="1" s="88">
      <c r="A3" s="109" t="inlineStr">
        <is>
          <t>TOTAL OVERVIEW</t>
        </is>
      </c>
      <c r="D3" s="110" t="inlineStr">
        <is>
          <t>HOTEL BREAKDOWN</t>
        </is>
      </c>
    </row>
    <row r="4" ht="15" customHeight="1" s="88">
      <c r="A4" s="111" t="inlineStr">
        <is>
          <t>Total Participants</t>
        </is>
      </c>
      <c r="B4" s="112">
        <f>COUNTA(ParticipantsDB!A2:A200)</f>
        <v/>
      </c>
      <c r="D4" s="111">
        <f>IFERROR(INDEX($G$2:$G$50,1),"")</f>
        <v/>
      </c>
      <c r="E4" s="113">
        <f>IF(D4="","",COUNTIF(ParticipantsDB!H2:H200,D4))</f>
        <v/>
      </c>
    </row>
    <row r="5" ht="15" customHeight="1" s="88">
      <c r="A5" s="114" t="inlineStr">
        <is>
          <t>Local Participants</t>
        </is>
      </c>
      <c r="B5" s="115">
        <f>COUNTIF(ParticipantsDB!G2:G200,"Local")</f>
        <v/>
      </c>
      <c r="D5" s="114">
        <f>IFERROR(INDEX($G$2:$G$50,2),"")</f>
        <v/>
      </c>
      <c r="E5" s="116">
        <f>IF(D5="","",COUNTIF(ParticipantsDB!H2:H200,D5))</f>
        <v/>
      </c>
    </row>
    <row r="6" ht="15" customHeight="1" s="88">
      <c r="A6" s="111" t="inlineStr">
        <is>
          <t>Non-Local Participants</t>
        </is>
      </c>
      <c r="B6" s="112">
        <f>COUNTIF(ParticipantsDB!G2:G200,"Non-Local")</f>
        <v/>
      </c>
      <c r="D6" s="111">
        <f>IFERROR(INDEX($G$2:$G$50,3),"")</f>
        <v/>
      </c>
      <c r="E6" s="113">
        <f>IF(D6="","",COUNTIF(ParticipantsDB!H2:H200,D6))</f>
        <v/>
      </c>
    </row>
    <row r="7" ht="15" customHeight="1" s="88">
      <c r="A7" s="114" t="inlineStr">
        <is>
          <t>Non-Local %</t>
        </is>
      </c>
      <c r="B7" s="117">
        <f>IFERROR(COUNTIF(ParticipantsDB!G2:G200,"Non-Local")/COUNTA(ParticipantsDB!A2:A200),0)</f>
        <v/>
      </c>
      <c r="D7" s="114">
        <f>IFERROR(INDEX($G$2:$G$50,4),"")</f>
        <v/>
      </c>
      <c r="E7" s="116">
        <f>IF(D7="","",COUNTIF(ParticipantsDB!H2:H200,D7))</f>
        <v/>
      </c>
    </row>
    <row r="8" ht="15" customHeight="1" s="88">
      <c r="D8" s="111">
        <f>IFERROR(INDEX($G$2:$G$50,5),"")</f>
        <v/>
      </c>
      <c r="E8" s="113">
        <f>IF(D8="","",COUNTIF(ParticipantsDB!H2:H200,D8))</f>
        <v/>
      </c>
    </row>
    <row r="9" ht="31.5" customHeight="1" s="88">
      <c r="A9" s="118" t="inlineStr">
        <is>
          <t>DAILY ATTENDANCE</t>
        </is>
      </c>
      <c r="D9" s="114">
        <f>IFERROR(INDEX($G$2:$G$50,6),"")</f>
        <v/>
      </c>
      <c r="E9" s="116">
        <f>IF(D9="","",COUNTIF(ParticipantsDB!H2:H200,D9))</f>
        <v/>
      </c>
    </row>
    <row r="10" ht="15" customHeight="1" s="88">
      <c r="A10" s="111" t="inlineStr">
        <is>
          <t>Day 1 — Mon Mar 9</t>
        </is>
      </c>
      <c r="B10" s="112">
        <f>COUNTIF(ParticipantsDB!I2:I200,"Yes")</f>
        <v/>
      </c>
      <c r="D10" s="111">
        <f>IFERROR(INDEX($G$2:$G$50,7),"")</f>
        <v/>
      </c>
      <c r="E10" s="113">
        <f>IF(D10="","",COUNTIF(ParticipantsDB!H2:H200,D10))</f>
        <v/>
      </c>
    </row>
    <row r="11" ht="15" customHeight="1" s="88">
      <c r="A11" s="114" t="inlineStr">
        <is>
          <t>Day 2 — Tue Mar 10</t>
        </is>
      </c>
      <c r="B11" s="115">
        <f>COUNTIF(ParticipantsDB!J2:J200,"Yes")</f>
        <v/>
      </c>
      <c r="D11" s="114">
        <f>IFERROR(INDEX($G$2:$G$50,8),"")</f>
        <v/>
      </c>
      <c r="E11" s="116">
        <f>IF(D11="","",COUNTIF(ParticipantsDB!H2:H200,D11))</f>
        <v/>
      </c>
    </row>
    <row r="12" ht="15" customHeight="1" s="88">
      <c r="A12" s="111" t="inlineStr">
        <is>
          <t>Day 3 — Wed Mar 11</t>
        </is>
      </c>
      <c r="B12" s="112">
        <f>COUNTIF(ParticipantsDB!K2:K200,"Yes")</f>
        <v/>
      </c>
      <c r="D12" s="111">
        <f>IFERROR(INDEX($G$2:$G$50,9),"")</f>
        <v/>
      </c>
      <c r="E12" s="113">
        <f>IF(D12="","",COUNTIF(ParticipantsDB!H2:H200,D12))</f>
        <v/>
      </c>
    </row>
    <row r="13" ht="15" customHeight="1" s="88">
      <c r="A13" s="114" t="inlineStr">
        <is>
          <t>Day 4 — Thu Mar 12</t>
        </is>
      </c>
      <c r="B13" s="115">
        <f>COUNTIF(ParticipantsDB!L2:L200,"Yes")</f>
        <v/>
      </c>
      <c r="D13" s="114">
        <f>IFERROR(INDEX($G$2:$G$50,10),"")</f>
        <v/>
      </c>
      <c r="E13" s="116">
        <f>IF(D13="","",COUNTIF(ParticipantsDB!H2:H200,D13))</f>
        <v/>
      </c>
    </row>
    <row r="14" ht="15" customHeight="1" s="88">
      <c r="A14" s="111" t="inlineStr">
        <is>
          <t>Day 5 — Fri Mar 13</t>
        </is>
      </c>
      <c r="B14" s="112">
        <f>COUNTIF(ParticipantsDB!M2:M200,"Yes")</f>
        <v/>
      </c>
      <c r="D14" s="111" t="inlineStr">
        <is>
          <t>No Hotel Assigned</t>
        </is>
      </c>
      <c r="E14" s="112">
        <f>COUNTIFS(ParticipantsDB!G2:G200,"Non-Local",ParticipantsDB!H2:H200,"")</f>
        <v/>
      </c>
    </row>
    <row r="15" ht="15" customHeight="1" s="88">
      <c r="A15" s="114" t="inlineStr">
        <is>
          <t>Highest Day</t>
        </is>
      </c>
      <c r="B15" s="115">
        <f>MAX(B10:B14)</f>
        <v/>
      </c>
      <c r="D15" s="114" t="inlineStr">
        <is>
          <t>Total Non-Local (verify)</t>
        </is>
      </c>
      <c r="E15" s="115">
        <f>COUNTIF(ParticipantsDB!G2:G200,"Non-Local")</f>
        <v/>
      </c>
    </row>
    <row r="16" ht="15" customHeight="1" s="88">
      <c r="A16" s="111" t="inlineStr">
        <is>
          <t>Lowest Day</t>
        </is>
      </c>
      <c r="B16" s="112">
        <f>MIN(B10:B14)</f>
        <v/>
      </c>
    </row>
    <row r="17" ht="31.5" customHeight="1" s="88">
      <c r="A17" s="114" t="inlineStr">
        <is>
          <t>Avg Daily Attendance</t>
        </is>
      </c>
      <c r="B17" s="119">
        <f>IFERROR(AVERAGE(B10:B14),0)</f>
        <v/>
      </c>
      <c r="D17" s="120" t="inlineStr">
        <is>
          <t>TRACK × LOCALITY</t>
        </is>
      </c>
    </row>
    <row r="18" ht="15" customHeight="1" s="88">
      <c r="D18" s="111">
        <f>IF(IFERROR(INDEX(SessionDB!$R$2:$R$50,1),"")="","",IFERROR(INDEX(SessionDB!$R$2:$R$50,1),"")&amp;" — Local")</f>
        <v/>
      </c>
      <c r="E18" s="113">
        <f>IF(D18="","",COUNTIFS(ParticipantsDB!F2:F200,IFERROR(INDEX(SessionDB!$R$2:$R$50,1),""),ParticipantsDB!G2:G200,"Local"))</f>
        <v/>
      </c>
    </row>
    <row r="19" ht="31.5" customHeight="1" s="88">
      <c r="A19" s="121" t="inlineStr">
        <is>
          <t>BREAKDOWN BY TRACK</t>
        </is>
      </c>
      <c r="D19" s="114">
        <f>IF(IFERROR(INDEX(SessionDB!$R$2:$R$50,1),"")="","",IFERROR(INDEX(SessionDB!$R$2:$R$50,1),"")&amp;" — Non-Local")</f>
        <v/>
      </c>
      <c r="E19" s="116">
        <f>IF(D19="","",COUNTIFS(ParticipantsDB!F2:F200,IFERROR(INDEX(SessionDB!$R$2:$R$50,1),""),ParticipantsDB!G2:G200,"Non-Local"))</f>
        <v/>
      </c>
    </row>
    <row r="20" ht="15" customHeight="1" s="88">
      <c r="A20" s="111">
        <f>IFERROR(INDEX(SessionDB!$R$2:$R$50,1),"")</f>
        <v/>
      </c>
      <c r="B20" s="113">
        <f>IF(A20="","",COUNTIF(ParticipantsDB!F2:F200,A20))</f>
        <v/>
      </c>
      <c r="D20" s="111">
        <f>IF(IFERROR(INDEX(SessionDB!$R$2:$R$50,2),"")="","",IFERROR(INDEX(SessionDB!$R$2:$R$50,2),"")&amp;" — Local")</f>
        <v/>
      </c>
      <c r="E20" s="113">
        <f>IF(D20="","",COUNTIFS(ParticipantsDB!F2:F200,IFERROR(INDEX(SessionDB!$R$2:$R$50,2),""),ParticipantsDB!G2:G200,"Local"))</f>
        <v/>
      </c>
    </row>
    <row r="21" ht="15" customHeight="1" s="88">
      <c r="A21" s="114">
        <f>IFERROR(INDEX(SessionDB!$R$2:$R$50,2),"")</f>
        <v/>
      </c>
      <c r="B21" s="116">
        <f>IF(A21="","",COUNTIF(ParticipantsDB!F2:F200,A21))</f>
        <v/>
      </c>
      <c r="D21" s="114">
        <f>IF(IFERROR(INDEX(SessionDB!$R$2:$R$50,2),"")="","",IFERROR(INDEX(SessionDB!$R$2:$R$50,2),"")&amp;" — Non-Local")</f>
        <v/>
      </c>
      <c r="E21" s="116">
        <f>IF(D21="","",COUNTIFS(ParticipantsDB!F2:F200,IFERROR(INDEX(SessionDB!$R$2:$R$50,2),""),ParticipantsDB!G2:G200,"Non-Local"))</f>
        <v/>
      </c>
    </row>
    <row r="22" ht="15" customHeight="1" s="88">
      <c r="A22" s="111">
        <f>IFERROR(INDEX(SessionDB!$R$2:$R$50,3),"")</f>
        <v/>
      </c>
      <c r="B22" s="113">
        <f>IF(A22="","",COUNTIF(ParticipantsDB!F2:F200,A22))</f>
        <v/>
      </c>
      <c r="D22" s="111">
        <f>IF(IFERROR(INDEX(SessionDB!$R$2:$R$50,3),"")="","",IFERROR(INDEX(SessionDB!$R$2:$R$50,3),"")&amp;" — Local")</f>
        <v/>
      </c>
      <c r="E22" s="113">
        <f>IF(D22="","",COUNTIFS(ParticipantsDB!F2:F200,IFERROR(INDEX(SessionDB!$R$2:$R$50,3),""),ParticipantsDB!G2:G200,"Local"))</f>
        <v/>
      </c>
    </row>
    <row r="23" ht="15" customHeight="1" s="88">
      <c r="A23" s="114">
        <f>IFERROR(INDEX(SessionDB!$R$2:$R$50,4),"")</f>
        <v/>
      </c>
      <c r="B23" s="116">
        <f>IF(A23="","",COUNTIF(ParticipantsDB!F2:F200,A23))</f>
        <v/>
      </c>
      <c r="D23" s="114">
        <f>IF(IFERROR(INDEX(SessionDB!$R$2:$R$50,3),"")="","",IFERROR(INDEX(SessionDB!$R$2:$R$50,3),"")&amp;" — Non-Local")</f>
        <v/>
      </c>
      <c r="E23" s="116">
        <f>IF(D23="","",COUNTIFS(ParticipantsDB!F2:F200,IFERROR(INDEX(SessionDB!$R$2:$R$50,3),""),ParticipantsDB!G2:G200,"Non-Local"))</f>
        <v/>
      </c>
    </row>
    <row r="24" ht="15" customHeight="1" s="88">
      <c r="A24" s="111">
        <f>IFERROR(INDEX(SessionDB!$R$2:$R$50,5),"")</f>
        <v/>
      </c>
      <c r="B24" s="113">
        <f>IF(A24="","",COUNTIF(ParticipantsDB!F2:F200,A24))</f>
        <v/>
      </c>
      <c r="D24" s="111">
        <f>IF(IFERROR(INDEX(SessionDB!$R$2:$R$50,4),"")="","",IFERROR(INDEX(SessionDB!$R$2:$R$50,4),"")&amp;" — Local")</f>
        <v/>
      </c>
      <c r="E24" s="113">
        <f>IF(D24="","",COUNTIFS(ParticipantsDB!F2:F200,IFERROR(INDEX(SessionDB!$R$2:$R$50,4),""),ParticipantsDB!G2:G200,"Local"))</f>
        <v/>
      </c>
    </row>
    <row r="25" ht="15" customHeight="1" s="88">
      <c r="A25" s="114">
        <f>IFERROR(INDEX(SessionDB!$R$2:$R$50,6),"")</f>
        <v/>
      </c>
      <c r="B25" s="116">
        <f>IF(A25="","",COUNTIF(ParticipantsDB!F2:F200,A25))</f>
        <v/>
      </c>
      <c r="D25" s="114">
        <f>IF(IFERROR(INDEX(SessionDB!$R$2:$R$50,4),"")="","",IFERROR(INDEX(SessionDB!$R$2:$R$50,4),"")&amp;" — Non-Local")</f>
        <v/>
      </c>
      <c r="E25" s="116">
        <f>IF(D25="","",COUNTIFS(ParticipantsDB!F2:F200,IFERROR(INDEX(SessionDB!$R$2:$R$50,4),""),ParticipantsDB!G2:G200,"Non-Local"))</f>
        <v/>
      </c>
    </row>
    <row r="26" ht="15" customHeight="1" s="88">
      <c r="A26" s="111">
        <f>IFERROR(INDEX(SessionDB!$R$2:$R$50,7),"")</f>
        <v/>
      </c>
      <c r="B26" s="113">
        <f>IF(A26="","",COUNTIF(ParticipantsDB!F2:F200,A26))</f>
        <v/>
      </c>
      <c r="D26" s="111">
        <f>IF(IFERROR(INDEX(SessionDB!$R$2:$R$50,5),"")="","",IFERROR(INDEX(SessionDB!$R$2:$R$50,5),"")&amp;" — Local")</f>
        <v/>
      </c>
      <c r="E26" s="113">
        <f>IF(D26="","",COUNTIFS(ParticipantsDB!F2:F200,IFERROR(INDEX(SessionDB!$R$2:$R$50,5),""),ParticipantsDB!G2:G200,"Local"))</f>
        <v/>
      </c>
    </row>
    <row r="27" ht="15" customHeight="1" s="88">
      <c r="A27" s="114">
        <f>IFERROR(INDEX(SessionDB!$R$2:$R$50,8),"")</f>
        <v/>
      </c>
      <c r="B27" s="116">
        <f>IF(A27="","",COUNTIF(ParticipantsDB!F2:F200,A27))</f>
        <v/>
      </c>
      <c r="D27" s="114">
        <f>IF(IFERROR(INDEX(SessionDB!$R$2:$R$50,5),"")="","",IFERROR(INDEX(SessionDB!$R$2:$R$50,5),"")&amp;" — Non-Local")</f>
        <v/>
      </c>
      <c r="E27" s="116">
        <f>IF(D27="","",COUNTIFS(ParticipantsDB!F2:F200,IFERROR(INDEX(SessionDB!$R$2:$R$50,5),""),ParticipantsDB!G2:G200,"Non-Local"))</f>
        <v/>
      </c>
    </row>
    <row r="28" ht="15" customHeight="1" s="88">
      <c r="A28" s="111">
        <f>IFERROR(INDEX(SessionDB!$R$2:$R$50,9),"")</f>
        <v/>
      </c>
      <c r="B28" s="113">
        <f>IF(A28="","",COUNTIF(ParticipantsDB!F2:F200,A28))</f>
        <v/>
      </c>
      <c r="D28" s="111">
        <f>IF(IFERROR(INDEX(SessionDB!$R$2:$R$50,6),"")="","",IFERROR(INDEX(SessionDB!$R$2:$R$50,6),"")&amp;" — Local")</f>
        <v/>
      </c>
      <c r="E28" s="113">
        <f>IF(D28="","",COUNTIFS(ParticipantsDB!F2:F200,IFERROR(INDEX(SessionDB!$R$2:$R$50,6),""),ParticipantsDB!G2:G200,"Local"))</f>
        <v/>
      </c>
    </row>
    <row r="29" ht="15" customHeight="1" s="88">
      <c r="A29" s="114">
        <f>IFERROR(INDEX(SessionDB!$R$2:$R$50,10),"")</f>
        <v/>
      </c>
      <c r="B29" s="116">
        <f>IF(A29="","",COUNTIF(ParticipantsDB!F2:F200,A29))</f>
        <v/>
      </c>
      <c r="D29" s="114">
        <f>IF(IFERROR(INDEX(SessionDB!$R$2:$R$50,6),"")="","",IFERROR(INDEX(SessionDB!$R$2:$R$50,6),"")&amp;" — Non-Local")</f>
        <v/>
      </c>
      <c r="E29" s="116">
        <f>IF(D29="","",COUNTIFS(ParticipantsDB!F2:F200,IFERROR(INDEX(SessionDB!$R$2:$R$50,6),""),ParticipantsDB!G2:G200,"Non-Local"))</f>
        <v/>
      </c>
    </row>
    <row r="30" ht="15" customHeight="1" s="88">
      <c r="A30" s="111" t="inlineStr">
        <is>
          <t>Total (verify)</t>
        </is>
      </c>
      <c r="B30" s="112">
        <f>COUNTA(ParticipantsDB!A2:A200)</f>
        <v/>
      </c>
      <c r="D30" s="111">
        <f>IF(IFERROR(INDEX(SessionDB!$R$2:$R$50,7),"")="","",IFERROR(INDEX(SessionDB!$R$2:$R$50,7),"")&amp;" — Local")</f>
        <v/>
      </c>
      <c r="E30" s="113">
        <f>IF(D30="","",COUNTIFS(ParticipantsDB!F2:F200,IFERROR(INDEX(SessionDB!$R$2:$R$50,7),""),ParticipantsDB!G2:G200,"Local"))</f>
        <v/>
      </c>
    </row>
    <row r="31" ht="15" customHeight="1" s="88">
      <c r="D31" s="114">
        <f>IF(IFERROR(INDEX(SessionDB!$R$2:$R$50,7),"")="","",IFERROR(INDEX(SessionDB!$R$2:$R$50,7),"")&amp;" — Non-Local")</f>
        <v/>
      </c>
      <c r="E31" s="116">
        <f>IF(D31="","",COUNTIFS(ParticipantsDB!F2:F200,IFERROR(INDEX(SessionDB!$R$2:$R$50,7),""),ParticipantsDB!G2:G200,"Non-Local"))</f>
        <v/>
      </c>
    </row>
    <row r="32" ht="15" customHeight="1" s="88">
      <c r="D32" s="111">
        <f>IF(IFERROR(INDEX(SessionDB!$R$2:$R$50,8),"")="","",IFERROR(INDEX(SessionDB!$R$2:$R$50,8),"")&amp;" — Local")</f>
        <v/>
      </c>
      <c r="E32" s="113">
        <f>IF(D32="","",COUNTIFS(ParticipantsDB!F2:F200,IFERROR(INDEX(SessionDB!$R$2:$R$50,8),""),ParticipantsDB!G2:G200,"Local"))</f>
        <v/>
      </c>
    </row>
    <row r="33" ht="15" customHeight="1" s="88">
      <c r="D33" s="114">
        <f>IF(IFERROR(INDEX(SessionDB!$R$2:$R$50,8),"")="","",IFERROR(INDEX(SessionDB!$R$2:$R$50,8),"")&amp;" — Non-Local")</f>
        <v/>
      </c>
      <c r="E33" s="116">
        <f>IF(D33="","",COUNTIFS(ParticipantsDB!F2:F200,IFERROR(INDEX(SessionDB!$R$2:$R$50,8),""),ParticipantsDB!G2:G200,"Non-Local"))</f>
        <v/>
      </c>
    </row>
    <row r="34" ht="15" customHeight="1" s="88">
      <c r="D34" s="111">
        <f>IF(IFERROR(INDEX(SessionDB!$R$2:$R$50,9),"")="","",IFERROR(INDEX(SessionDB!$R$2:$R$50,9),"")&amp;" — Local")</f>
        <v/>
      </c>
      <c r="E34" s="113">
        <f>IF(D34="","",COUNTIFS(ParticipantsDB!F2:F200,IFERROR(INDEX(SessionDB!$R$2:$R$50,9),""),ParticipantsDB!G2:G200,"Local"))</f>
        <v/>
      </c>
    </row>
    <row r="35" ht="15" customHeight="1" s="88">
      <c r="D35" s="114">
        <f>IF(IFERROR(INDEX(SessionDB!$R$2:$R$50,9),"")="","",IFERROR(INDEX(SessionDB!$R$2:$R$50,9),"")&amp;" — Non-Local")</f>
        <v/>
      </c>
      <c r="E35" s="116">
        <f>IF(D35="","",COUNTIFS(ParticipantsDB!F2:F200,IFERROR(INDEX(SessionDB!$R$2:$R$50,9),""),ParticipantsDB!G2:G200,"Non-Local"))</f>
        <v/>
      </c>
    </row>
    <row r="36" ht="15" customHeight="1" s="88">
      <c r="D36" s="111">
        <f>IF(IFERROR(INDEX(SessionDB!$R$2:$R$50,10),"")="","",IFERROR(INDEX(SessionDB!$R$2:$R$50,10),"")&amp;" — Local")</f>
        <v/>
      </c>
      <c r="E36" s="113">
        <f>IF(D36="","",COUNTIFS(ParticipantsDB!F2:F200,IFERROR(INDEX(SessionDB!$R$2:$R$50,10),""),ParticipantsDB!G2:G200,"Local"))</f>
        <v/>
      </c>
    </row>
    <row r="37" ht="15" customHeight="1" s="88">
      <c r="D37" s="114">
        <f>IF(IFERROR(INDEX(SessionDB!$R$2:$R$50,10),"")="","",IFERROR(INDEX(SessionDB!$R$2:$R$50,10),"")&amp;" — Non-Local")</f>
        <v/>
      </c>
      <c r="E37" s="116">
        <f>IF(D37="","",COUNTIFS(ParticipantsDB!F2:F200,IFERROR(INDEX(SessionDB!$R$2:$R$50,10),""),ParticipantsDB!G2:G200,"Non-Local"))</f>
        <v/>
      </c>
    </row>
    <row r="39" ht="31.5" customHeight="1" s="88">
      <c r="D39" s="121" t="inlineStr">
        <is>
          <t>DEPARTMENT BREAKDOWN</t>
        </is>
      </c>
    </row>
    <row r="40" ht="15" customHeight="1" s="88">
      <c r="D40" s="111">
        <f>IFERROR(INDEX($H$2:$H$50,1),"")</f>
        <v/>
      </c>
      <c r="E40" s="113">
        <f>IF(D40="","",COUNTIF(ParticipantsDB!D2:D200,D40))</f>
        <v/>
      </c>
    </row>
    <row r="41" ht="15" customHeight="1" s="88">
      <c r="D41" s="114">
        <f>IFERROR(INDEX($H$2:$H$50,2),"")</f>
        <v/>
      </c>
      <c r="E41" s="116">
        <f>IF(D41="","",COUNTIF(ParticipantsDB!D2:D200,D41))</f>
        <v/>
      </c>
    </row>
    <row r="42" ht="15" customHeight="1" s="88">
      <c r="D42" s="111">
        <f>IFERROR(INDEX($H$2:$H$50,3),"")</f>
        <v/>
      </c>
      <c r="E42" s="113">
        <f>IF(D42="","",COUNTIF(ParticipantsDB!D2:D200,D42))</f>
        <v/>
      </c>
    </row>
    <row r="43" ht="15" customHeight="1" s="88">
      <c r="D43" s="114">
        <f>IFERROR(INDEX($H$2:$H$50,4),"")</f>
        <v/>
      </c>
      <c r="E43" s="116">
        <f>IF(D43="","",COUNTIF(ParticipantsDB!D2:D200,D43))</f>
        <v/>
      </c>
    </row>
    <row r="44" ht="15" customHeight="1" s="88">
      <c r="D44" s="111">
        <f>IFERROR(INDEX($H$2:$H$50,5),"")</f>
        <v/>
      </c>
      <c r="E44" s="113">
        <f>IF(D44="","",COUNTIF(ParticipantsDB!D2:D200,D44))</f>
        <v/>
      </c>
    </row>
    <row r="45" ht="15" customHeight="1" s="88">
      <c r="D45" s="114">
        <f>IFERROR(INDEX($H$2:$H$50,6),"")</f>
        <v/>
      </c>
      <c r="E45" s="116">
        <f>IF(D45="","",COUNTIF(ParticipantsDB!D2:D200,D45))</f>
        <v/>
      </c>
    </row>
    <row r="46" ht="15" customHeight="1" s="88">
      <c r="D46" s="111">
        <f>IFERROR(INDEX($H$2:$H$50,7),"")</f>
        <v/>
      </c>
      <c r="E46" s="113">
        <f>IF(D46="","",COUNTIF(ParticipantsDB!D2:D200,D46))</f>
        <v/>
      </c>
    </row>
    <row r="47" ht="15" customHeight="1" s="88">
      <c r="D47" s="114">
        <f>IFERROR(INDEX($H$2:$H$50,8),"")</f>
        <v/>
      </c>
      <c r="E47" s="116">
        <f>IF(D47="","",COUNTIF(ParticipantsDB!D2:D200,D47))</f>
        <v/>
      </c>
    </row>
    <row r="48" ht="15" customHeight="1" s="88">
      <c r="D48" s="111">
        <f>IFERROR(INDEX($H$2:$H$50,9),"")</f>
        <v/>
      </c>
      <c r="E48" s="113">
        <f>IF(D48="","",COUNTIF(ParticipantsDB!D2:D200,D48))</f>
        <v/>
      </c>
    </row>
    <row r="49" ht="15" customHeight="1" s="88">
      <c r="D49" s="114">
        <f>IFERROR(INDEX($H$2:$H$50,10),"")</f>
        <v/>
      </c>
      <c r="E49" s="116">
        <f>IF(D49="","",COUNTIF(ParticipantsDB!D2:D200,D49))</f>
        <v/>
      </c>
    </row>
    <row r="50" ht="15" customHeight="1" s="88">
      <c r="D50" s="111">
        <f>IFERROR(INDEX($H$2:$H$50,11),"")</f>
        <v/>
      </c>
      <c r="E50" s="113">
        <f>IF(D50="","",COUNTIF(ParticipantsDB!D2:D200,D50))</f>
        <v/>
      </c>
    </row>
    <row r="51" ht="15" customHeight="1" s="88">
      <c r="D51" s="114">
        <f>IFERROR(INDEX($H$2:$H$50,12),"")</f>
        <v/>
      </c>
      <c r="E51" s="116">
        <f>IF(D51="","",COUNTIF(ParticipantsDB!D2:D200,D51))</f>
        <v/>
      </c>
    </row>
    <row r="52" ht="15" customHeight="1" s="88">
      <c r="D52" s="111">
        <f>IFERROR(INDEX($H$2:$H$50,13),"")</f>
        <v/>
      </c>
      <c r="E52" s="113">
        <f>IF(D52="","",COUNTIF(ParticipantsDB!D2:D200,D52))</f>
        <v/>
      </c>
    </row>
    <row r="53" ht="15" customHeight="1" s="88">
      <c r="D53" s="114">
        <f>IFERROR(INDEX($H$2:$H$50,14),"")</f>
        <v/>
      </c>
      <c r="E53" s="116">
        <f>IF(D53="","",COUNTIF(ParticipantsDB!D2:D200,D53))</f>
        <v/>
      </c>
    </row>
    <row r="54" ht="15" customHeight="1" s="88">
      <c r="D54" s="111">
        <f>IFERROR(INDEX($H$2:$H$50,15),"")</f>
        <v/>
      </c>
      <c r="E54" s="113">
        <f>IF(D54="","",COUNTIF(ParticipantsDB!D2:D200,D54))</f>
        <v/>
      </c>
    </row>
  </sheetData>
  <mergeCells count="7">
    <mergeCell ref="A19:B19"/>
    <mergeCell ref="D3:E3"/>
    <mergeCell ref="A1:E1"/>
    <mergeCell ref="A9:B9"/>
    <mergeCell ref="D17:E17"/>
    <mergeCell ref="A3:B3"/>
    <mergeCell ref="D39:E3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tabColor rgb="00DC2626"/>
    <outlinePr summaryBelow="1" summaryRight="1"/>
    <pageSetUpPr/>
  </sheetPr>
  <dimension ref="A1:M10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style="88" min="1" max="1"/>
    <col width="7" customWidth="1" style="88" min="2" max="2"/>
    <col width="14" customWidth="1" style="88" min="3" max="3"/>
    <col width="14" customWidth="1" style="88" min="4" max="4"/>
    <col width="14" customWidth="1" style="88" min="5" max="5"/>
    <col width="14" customWidth="1" style="88" min="6" max="6"/>
    <col width="14" customWidth="1" style="88" min="7" max="7"/>
    <col width="14" customWidth="1" style="88" min="8" max="8"/>
    <col width="14" customWidth="1" style="88" min="9" max="9"/>
    <col width="14" customWidth="1" style="88" min="10" max="10"/>
    <col width="14" customWidth="1" style="88" min="11" max="11"/>
    <col width="14" customWidth="1" style="88" min="12" max="12"/>
    <col width="14" customWidth="1" style="88" min="13" max="13"/>
  </cols>
  <sheetData>
    <row r="1" ht="36" customHeight="1" s="88">
      <c r="A1" s="122" t="inlineStr">
        <is>
          <t>ROOM MANAGEMENT — Macro Populated from SessionDB</t>
        </is>
      </c>
      <c r="B1" s="123" t="n"/>
      <c r="C1" s="123" t="n"/>
      <c r="D1" s="123" t="n"/>
      <c r="E1" s="123" t="n"/>
      <c r="F1" s="123" t="n"/>
      <c r="G1" s="123" t="n"/>
      <c r="H1" s="123" t="n"/>
      <c r="I1" s="123" t="n"/>
      <c r="J1" s="123" t="n"/>
      <c r="K1" s="123" t="n"/>
      <c r="L1" s="123" t="n"/>
      <c r="M1" s="123" t="n"/>
    </row>
    <row r="2" ht="36" customHeight="1" s="88">
      <c r="A2" s="124" t="inlineStr">
        <is>
          <t>Day</t>
        </is>
      </c>
      <c r="B2" s="124" t="inlineStr">
        <is>
          <t>Time</t>
        </is>
      </c>
      <c r="C2" s="125" t="inlineStr">
        <is>
          <t>Main Hall
(200 pax)</t>
        </is>
      </c>
      <c r="D2" s="125" t="inlineStr">
        <is>
          <t>Room A1
(50 pax)</t>
        </is>
      </c>
      <c r="E2" s="125" t="inlineStr">
        <is>
          <t>Room B1
(55 pax)</t>
        </is>
      </c>
      <c r="F2" s="125" t="inlineStr">
        <is>
          <t>Room C1
(45 pax)</t>
        </is>
      </c>
      <c r="G2" s="125" t="inlineStr">
        <is>
          <t>Room D1
(40 pax)</t>
        </is>
      </c>
      <c r="H2" s="125" t="inlineStr">
        <is>
          <t>Atrium
(250 pax)</t>
        </is>
      </c>
      <c r="I2" s="126" t="inlineStr">
        <is>
          <t>Room E1
(35 pax)</t>
        </is>
      </c>
      <c r="J2" s="126" t="inlineStr">
        <is>
          <t>Room E2
(30 pax)</t>
        </is>
      </c>
      <c r="K2" s="126" t="inlineStr">
        <is>
          <t>Room F1
(25 pax)</t>
        </is>
      </c>
      <c r="L2" s="126" t="inlineStr">
        <is>
          <t>Boardroom G
(15 pax)</t>
        </is>
      </c>
      <c r="M2" s="126" t="inlineStr">
        <is>
          <t>Terrace
(60 pax)</t>
        </is>
      </c>
    </row>
    <row r="3" ht="18" customHeight="1" s="88">
      <c r="A3" s="127" t="n"/>
      <c r="B3" s="127" t="n"/>
      <c r="C3" s="128" t="inlineStr">
        <is>
          <t>Primary</t>
        </is>
      </c>
      <c r="D3" s="128" t="inlineStr">
        <is>
          <t>Primary</t>
        </is>
      </c>
      <c r="E3" s="128" t="inlineStr">
        <is>
          <t>Primary</t>
        </is>
      </c>
      <c r="F3" s="128" t="inlineStr">
        <is>
          <t>Primary</t>
        </is>
      </c>
      <c r="G3" s="128" t="inlineStr">
        <is>
          <t>Primary</t>
        </is>
      </c>
      <c r="H3" s="128" t="inlineStr">
        <is>
          <t>Primary</t>
        </is>
      </c>
      <c r="I3" s="129" t="inlineStr">
        <is>
          <t>Backup</t>
        </is>
      </c>
      <c r="J3" s="129" t="inlineStr">
        <is>
          <t>Backup</t>
        </is>
      </c>
      <c r="K3" s="129" t="inlineStr">
        <is>
          <t>Backup</t>
        </is>
      </c>
      <c r="L3" s="129" t="inlineStr">
        <is>
          <t>Backup</t>
        </is>
      </c>
      <c r="M3" s="129" t="inlineStr">
        <is>
          <t>Backup</t>
        </is>
      </c>
    </row>
    <row r="4" ht="20" customHeight="1" s="88">
      <c r="A4" s="130" t="inlineStr">
        <is>
          <t>D1</t>
        </is>
      </c>
      <c r="B4" s="131" t="inlineStr">
        <is>
          <t>08:00</t>
        </is>
      </c>
      <c r="C4" s="132" t="n"/>
      <c r="D4" s="132" t="n"/>
      <c r="E4" s="132" t="n"/>
      <c r="F4" s="132" t="n"/>
      <c r="G4" s="132" t="n"/>
      <c r="H4" s="132" t="n"/>
      <c r="I4" s="132" t="n"/>
      <c r="J4" s="132" t="n"/>
      <c r="K4" s="132" t="n"/>
      <c r="L4" s="132" t="n"/>
      <c r="M4" s="132" t="n"/>
    </row>
    <row r="5" ht="20" customHeight="1" s="88">
      <c r="A5" s="133" t="inlineStr">
        <is>
          <t>D1</t>
        </is>
      </c>
      <c r="B5" s="134" t="inlineStr">
        <is>
          <t>08:30</t>
        </is>
      </c>
      <c r="C5" s="135" t="n"/>
      <c r="D5" s="135" t="n"/>
      <c r="E5" s="135" t="n"/>
      <c r="F5" s="135" t="n"/>
      <c r="G5" s="135" t="n"/>
      <c r="H5" s="135" t="n"/>
      <c r="I5" s="135" t="n"/>
      <c r="J5" s="135" t="n"/>
      <c r="K5" s="135" t="n"/>
      <c r="L5" s="135" t="n"/>
      <c r="M5" s="135" t="n"/>
    </row>
    <row r="6" ht="20" customHeight="1" s="88">
      <c r="A6" s="136" t="inlineStr">
        <is>
          <t>D1</t>
        </is>
      </c>
      <c r="B6" s="137" t="inlineStr">
        <is>
          <t>09:00</t>
        </is>
      </c>
      <c r="C6" s="135" t="n"/>
      <c r="D6" s="135" t="n"/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</row>
    <row r="7" ht="20" customHeight="1" s="88">
      <c r="A7" s="133" t="inlineStr">
        <is>
          <t>D1</t>
        </is>
      </c>
      <c r="B7" s="134" t="inlineStr">
        <is>
          <t>09:30</t>
        </is>
      </c>
      <c r="C7" s="135" t="n"/>
      <c r="D7" s="135" t="n"/>
      <c r="E7" s="135" t="n"/>
      <c r="F7" s="135" t="n"/>
      <c r="G7" s="135" t="n"/>
      <c r="H7" s="135" t="n"/>
      <c r="I7" s="135" t="n"/>
      <c r="J7" s="135" t="n"/>
      <c r="K7" s="135" t="n"/>
      <c r="L7" s="135" t="n"/>
      <c r="M7" s="135" t="n"/>
    </row>
    <row r="8" ht="20" customHeight="1" s="88">
      <c r="A8" s="136" t="inlineStr">
        <is>
          <t>D1</t>
        </is>
      </c>
      <c r="B8" s="137" t="inlineStr">
        <is>
          <t>10:00</t>
        </is>
      </c>
      <c r="C8" s="135" t="n"/>
      <c r="D8" s="135" t="n"/>
      <c r="E8" s="135" t="n"/>
      <c r="F8" s="135" t="n"/>
      <c r="G8" s="135" t="n"/>
      <c r="H8" s="135" t="n"/>
      <c r="I8" s="135" t="n"/>
      <c r="J8" s="135" t="n"/>
      <c r="K8" s="135" t="n"/>
      <c r="L8" s="135" t="n"/>
      <c r="M8" s="135" t="n"/>
    </row>
    <row r="9" ht="20" customHeight="1" s="88">
      <c r="A9" s="133" t="inlineStr">
        <is>
          <t>D1</t>
        </is>
      </c>
      <c r="B9" s="134" t="inlineStr">
        <is>
          <t>10:30</t>
        </is>
      </c>
      <c r="C9" s="135" t="n"/>
      <c r="D9" s="135" t="n"/>
      <c r="E9" s="135" t="n"/>
      <c r="F9" s="135" t="n"/>
      <c r="G9" s="135" t="n"/>
      <c r="H9" s="135" t="n"/>
      <c r="I9" s="135" t="n"/>
      <c r="J9" s="135" t="n"/>
      <c r="K9" s="135" t="n"/>
      <c r="L9" s="135" t="n"/>
      <c r="M9" s="135" t="n"/>
    </row>
    <row r="10" ht="20" customHeight="1" s="88">
      <c r="A10" s="136" t="inlineStr">
        <is>
          <t>D1</t>
        </is>
      </c>
      <c r="B10" s="137" t="inlineStr">
        <is>
          <t>11:00</t>
        </is>
      </c>
      <c r="C10" s="135" t="n"/>
      <c r="D10" s="135" t="n"/>
      <c r="E10" s="135" t="n"/>
      <c r="F10" s="135" t="n"/>
      <c r="G10" s="135" t="n"/>
      <c r="H10" s="135" t="n"/>
      <c r="I10" s="135" t="n"/>
      <c r="J10" s="135" t="n"/>
      <c r="K10" s="135" t="n"/>
      <c r="L10" s="135" t="n"/>
      <c r="M10" s="135" t="n"/>
    </row>
    <row r="11" ht="20" customHeight="1" s="88">
      <c r="A11" s="133" t="inlineStr">
        <is>
          <t>D1</t>
        </is>
      </c>
      <c r="B11" s="134" t="inlineStr">
        <is>
          <t>11:30</t>
        </is>
      </c>
      <c r="C11" s="135" t="n"/>
      <c r="D11" s="135" t="n"/>
      <c r="E11" s="135" t="n"/>
      <c r="F11" s="135" t="n"/>
      <c r="G11" s="135" t="n"/>
      <c r="H11" s="135" t="n"/>
      <c r="I11" s="135" t="n"/>
      <c r="J11" s="135" t="n"/>
      <c r="K11" s="135" t="n"/>
      <c r="L11" s="135" t="n"/>
      <c r="M11" s="135" t="n"/>
    </row>
    <row r="12" ht="20" customHeight="1" s="88">
      <c r="A12" s="136" t="inlineStr">
        <is>
          <t>D1</t>
        </is>
      </c>
      <c r="B12" s="137" t="inlineStr">
        <is>
          <t>12:00</t>
        </is>
      </c>
      <c r="C12" s="135" t="n"/>
      <c r="D12" s="135" t="n"/>
      <c r="E12" s="135" t="n"/>
      <c r="F12" s="135" t="n"/>
      <c r="G12" s="135" t="n"/>
      <c r="H12" s="135" t="n"/>
      <c r="I12" s="135" t="n"/>
      <c r="J12" s="135" t="n"/>
      <c r="K12" s="135" t="n"/>
      <c r="L12" s="135" t="n"/>
      <c r="M12" s="135" t="n"/>
    </row>
    <row r="13" ht="20" customHeight="1" s="88">
      <c r="A13" s="133" t="inlineStr">
        <is>
          <t>D1</t>
        </is>
      </c>
      <c r="B13" s="134" t="inlineStr">
        <is>
          <t>12:30</t>
        </is>
      </c>
      <c r="C13" s="135" t="n"/>
      <c r="D13" s="135" t="n"/>
      <c r="E13" s="135" t="n"/>
      <c r="F13" s="135" t="n"/>
      <c r="G13" s="135" t="n"/>
      <c r="H13" s="135" t="n"/>
      <c r="I13" s="135" t="n"/>
      <c r="J13" s="135" t="n"/>
      <c r="K13" s="135" t="n"/>
      <c r="L13" s="135" t="n"/>
      <c r="M13" s="135" t="n"/>
    </row>
    <row r="14" ht="20" customHeight="1" s="88">
      <c r="A14" s="136" t="inlineStr">
        <is>
          <t>D1</t>
        </is>
      </c>
      <c r="B14" s="137" t="inlineStr">
        <is>
          <t>13:00</t>
        </is>
      </c>
      <c r="C14" s="135" t="n"/>
      <c r="D14" s="135" t="n"/>
      <c r="E14" s="135" t="n"/>
      <c r="F14" s="135" t="n"/>
      <c r="G14" s="135" t="n"/>
      <c r="H14" s="135" t="n"/>
      <c r="I14" s="135" t="n"/>
      <c r="J14" s="135" t="n"/>
      <c r="K14" s="135" t="n"/>
      <c r="L14" s="135" t="n"/>
      <c r="M14" s="135" t="n"/>
    </row>
    <row r="15" ht="20" customHeight="1" s="88">
      <c r="A15" s="133" t="inlineStr">
        <is>
          <t>D1</t>
        </is>
      </c>
      <c r="B15" s="134" t="inlineStr">
        <is>
          <t>13:30</t>
        </is>
      </c>
      <c r="C15" s="135" t="n"/>
      <c r="D15" s="135" t="n"/>
      <c r="E15" s="135" t="n"/>
      <c r="F15" s="135" t="n"/>
      <c r="G15" s="135" t="n"/>
      <c r="H15" s="135" t="n"/>
      <c r="I15" s="135" t="n"/>
      <c r="J15" s="135" t="n"/>
      <c r="K15" s="135" t="n"/>
      <c r="L15" s="135" t="n"/>
      <c r="M15" s="135" t="n"/>
    </row>
    <row r="16" ht="20" customHeight="1" s="88">
      <c r="A16" s="136" t="inlineStr">
        <is>
          <t>D1</t>
        </is>
      </c>
      <c r="B16" s="137" t="inlineStr">
        <is>
          <t>14:00</t>
        </is>
      </c>
      <c r="C16" s="135" t="n"/>
      <c r="D16" s="135" t="n"/>
      <c r="E16" s="135" t="n"/>
      <c r="F16" s="135" t="n"/>
      <c r="G16" s="135" t="n"/>
      <c r="H16" s="135" t="n"/>
      <c r="I16" s="135" t="n"/>
      <c r="J16" s="135" t="n"/>
      <c r="K16" s="135" t="n"/>
      <c r="L16" s="135" t="n"/>
      <c r="M16" s="135" t="n"/>
    </row>
    <row r="17" ht="20" customHeight="1" s="88">
      <c r="A17" s="133" t="inlineStr">
        <is>
          <t>D1</t>
        </is>
      </c>
      <c r="B17" s="134" t="inlineStr">
        <is>
          <t>14:30</t>
        </is>
      </c>
      <c r="C17" s="135" t="n"/>
      <c r="D17" s="135" t="n"/>
      <c r="E17" s="135" t="n"/>
      <c r="F17" s="135" t="n"/>
      <c r="G17" s="135" t="n"/>
      <c r="H17" s="135" t="n"/>
      <c r="I17" s="135" t="n"/>
      <c r="J17" s="135" t="n"/>
      <c r="K17" s="135" t="n"/>
      <c r="L17" s="135" t="n"/>
      <c r="M17" s="135" t="n"/>
    </row>
    <row r="18" ht="20" customHeight="1" s="88">
      <c r="A18" s="136" t="inlineStr">
        <is>
          <t>D1</t>
        </is>
      </c>
      <c r="B18" s="137" t="inlineStr">
        <is>
          <t>15:00</t>
        </is>
      </c>
      <c r="C18" s="135" t="n"/>
      <c r="D18" s="135" t="n"/>
      <c r="E18" s="135" t="n"/>
      <c r="F18" s="135" t="n"/>
      <c r="G18" s="135" t="n"/>
      <c r="H18" s="135" t="n"/>
      <c r="I18" s="135" t="n"/>
      <c r="J18" s="135" t="n"/>
      <c r="K18" s="135" t="n"/>
      <c r="L18" s="135" t="n"/>
      <c r="M18" s="135" t="n"/>
    </row>
    <row r="19" ht="20" customHeight="1" s="88">
      <c r="A19" s="133" t="inlineStr">
        <is>
          <t>D1</t>
        </is>
      </c>
      <c r="B19" s="134" t="inlineStr">
        <is>
          <t>15:30</t>
        </is>
      </c>
      <c r="C19" s="135" t="n"/>
      <c r="D19" s="135" t="n"/>
      <c r="E19" s="135" t="n"/>
      <c r="F19" s="135" t="n"/>
      <c r="G19" s="135" t="n"/>
      <c r="H19" s="135" t="n"/>
      <c r="I19" s="135" t="n"/>
      <c r="J19" s="135" t="n"/>
      <c r="K19" s="135" t="n"/>
      <c r="L19" s="135" t="n"/>
      <c r="M19" s="135" t="n"/>
    </row>
    <row r="20" ht="20" customHeight="1" s="88">
      <c r="A20" s="136" t="inlineStr">
        <is>
          <t>D1</t>
        </is>
      </c>
      <c r="B20" s="137" t="inlineStr">
        <is>
          <t>16:00</t>
        </is>
      </c>
      <c r="C20" s="135" t="n"/>
      <c r="D20" s="135" t="n"/>
      <c r="E20" s="135" t="n"/>
      <c r="F20" s="135" t="n"/>
      <c r="G20" s="135" t="n"/>
      <c r="H20" s="135" t="n"/>
      <c r="I20" s="135" t="n"/>
      <c r="J20" s="135" t="n"/>
      <c r="K20" s="135" t="n"/>
      <c r="L20" s="135" t="n"/>
      <c r="M20" s="135" t="n"/>
    </row>
    <row r="21" ht="20" customHeight="1" s="88">
      <c r="A21" s="133" t="inlineStr">
        <is>
          <t>D1</t>
        </is>
      </c>
      <c r="B21" s="134" t="inlineStr">
        <is>
          <t>16:30</t>
        </is>
      </c>
      <c r="C21" s="135" t="n"/>
      <c r="D21" s="135" t="n"/>
      <c r="E21" s="135" t="n"/>
      <c r="F21" s="135" t="n"/>
      <c r="G21" s="135" t="n"/>
      <c r="H21" s="135" t="n"/>
      <c r="I21" s="135" t="n"/>
      <c r="J21" s="135" t="n"/>
      <c r="K21" s="135" t="n"/>
      <c r="L21" s="135" t="n"/>
      <c r="M21" s="135" t="n"/>
    </row>
    <row r="22" ht="20" customHeight="1" s="88">
      <c r="A22" s="136" t="inlineStr">
        <is>
          <t>D1</t>
        </is>
      </c>
      <c r="B22" s="137" t="inlineStr">
        <is>
          <t>17:00</t>
        </is>
      </c>
      <c r="C22" s="135" t="n"/>
      <c r="D22" s="135" t="n"/>
      <c r="E22" s="135" t="n"/>
      <c r="F22" s="135" t="n"/>
      <c r="G22" s="135" t="n"/>
      <c r="H22" s="135" t="n"/>
      <c r="I22" s="135" t="n"/>
      <c r="J22" s="135" t="n"/>
      <c r="K22" s="135" t="n"/>
      <c r="L22" s="135" t="n"/>
      <c r="M22" s="135" t="n"/>
    </row>
    <row r="23" ht="20" customHeight="1" s="88">
      <c r="A23" s="133" t="inlineStr">
        <is>
          <t>D1</t>
        </is>
      </c>
      <c r="B23" s="134" t="inlineStr">
        <is>
          <t>17:30</t>
        </is>
      </c>
      <c r="C23" s="135" t="n"/>
      <c r="D23" s="135" t="n"/>
      <c r="E23" s="135" t="n"/>
      <c r="F23" s="135" t="n"/>
      <c r="G23" s="135" t="n"/>
      <c r="H23" s="135" t="n"/>
      <c r="I23" s="135" t="n"/>
      <c r="J23" s="135" t="n"/>
      <c r="K23" s="135" t="n"/>
      <c r="L23" s="135" t="n"/>
      <c r="M23" s="135" t="n"/>
    </row>
    <row r="24" ht="20" customHeight="1" s="88">
      <c r="A24" s="130" t="inlineStr">
        <is>
          <t>D2</t>
        </is>
      </c>
      <c r="B24" s="131" t="inlineStr">
        <is>
          <t>08:00</t>
        </is>
      </c>
      <c r="C24" s="132" t="n"/>
      <c r="D24" s="132" t="n"/>
      <c r="E24" s="132" t="n"/>
      <c r="F24" s="132" t="n"/>
      <c r="G24" s="132" t="n"/>
      <c r="H24" s="132" t="n"/>
      <c r="I24" s="132" t="n"/>
      <c r="J24" s="132" t="n"/>
      <c r="K24" s="132" t="n"/>
      <c r="L24" s="132" t="n"/>
      <c r="M24" s="132" t="n"/>
    </row>
    <row r="25" ht="20" customHeight="1" s="88">
      <c r="A25" s="133" t="inlineStr">
        <is>
          <t>D2</t>
        </is>
      </c>
      <c r="B25" s="134" t="inlineStr">
        <is>
          <t>08:30</t>
        </is>
      </c>
      <c r="C25" s="135" t="n"/>
      <c r="D25" s="135" t="n"/>
      <c r="E25" s="135" t="n"/>
      <c r="F25" s="135" t="n"/>
      <c r="G25" s="135" t="n"/>
      <c r="H25" s="135" t="n"/>
      <c r="I25" s="135" t="n"/>
      <c r="J25" s="135" t="n"/>
      <c r="K25" s="135" t="n"/>
      <c r="L25" s="135" t="n"/>
      <c r="M25" s="135" t="n"/>
    </row>
    <row r="26" ht="20" customHeight="1" s="88">
      <c r="A26" s="136" t="inlineStr">
        <is>
          <t>D2</t>
        </is>
      </c>
      <c r="B26" s="137" t="inlineStr">
        <is>
          <t>09:00</t>
        </is>
      </c>
      <c r="C26" s="135" t="n"/>
      <c r="D26" s="135" t="n"/>
      <c r="E26" s="135" t="n"/>
      <c r="F26" s="135" t="n"/>
      <c r="G26" s="135" t="n"/>
      <c r="H26" s="135" t="n"/>
      <c r="I26" s="135" t="n"/>
      <c r="J26" s="135" t="n"/>
      <c r="K26" s="135" t="n"/>
      <c r="L26" s="135" t="n"/>
      <c r="M26" s="135" t="n"/>
    </row>
    <row r="27" ht="20" customHeight="1" s="88">
      <c r="A27" s="133" t="inlineStr">
        <is>
          <t>D2</t>
        </is>
      </c>
      <c r="B27" s="134" t="inlineStr">
        <is>
          <t>09:30</t>
        </is>
      </c>
      <c r="C27" s="135" t="n"/>
      <c r="D27" s="135" t="n"/>
      <c r="E27" s="135" t="n"/>
      <c r="F27" s="135" t="n"/>
      <c r="G27" s="135" t="n"/>
      <c r="H27" s="135" t="n"/>
      <c r="I27" s="135" t="n"/>
      <c r="J27" s="135" t="n"/>
      <c r="K27" s="135" t="n"/>
      <c r="L27" s="135" t="n"/>
      <c r="M27" s="135" t="n"/>
    </row>
    <row r="28" ht="20" customHeight="1" s="88">
      <c r="A28" s="136" t="inlineStr">
        <is>
          <t>D2</t>
        </is>
      </c>
      <c r="B28" s="137" t="inlineStr">
        <is>
          <t>10:00</t>
        </is>
      </c>
      <c r="C28" s="135" t="n"/>
      <c r="D28" s="135" t="n"/>
      <c r="E28" s="135" t="n"/>
      <c r="F28" s="135" t="n"/>
      <c r="G28" s="135" t="n"/>
      <c r="H28" s="135" t="n"/>
      <c r="I28" s="135" t="n"/>
      <c r="J28" s="135" t="n"/>
      <c r="K28" s="135" t="n"/>
      <c r="L28" s="135" t="n"/>
      <c r="M28" s="135" t="n"/>
    </row>
    <row r="29" ht="20" customHeight="1" s="88">
      <c r="A29" s="133" t="inlineStr">
        <is>
          <t>D2</t>
        </is>
      </c>
      <c r="B29" s="134" t="inlineStr">
        <is>
          <t>10:30</t>
        </is>
      </c>
      <c r="C29" s="135" t="n"/>
      <c r="D29" s="135" t="n"/>
      <c r="E29" s="135" t="n"/>
      <c r="F29" s="135" t="n"/>
      <c r="G29" s="135" t="n"/>
      <c r="H29" s="135" t="n"/>
      <c r="I29" s="135" t="n"/>
      <c r="J29" s="135" t="n"/>
      <c r="K29" s="135" t="n"/>
      <c r="L29" s="135" t="n"/>
      <c r="M29" s="135" t="n"/>
    </row>
    <row r="30" ht="20" customHeight="1" s="88">
      <c r="A30" s="136" t="inlineStr">
        <is>
          <t>D2</t>
        </is>
      </c>
      <c r="B30" s="137" t="inlineStr">
        <is>
          <t>11:00</t>
        </is>
      </c>
      <c r="C30" s="135" t="n"/>
      <c r="D30" s="135" t="n"/>
      <c r="E30" s="135" t="n"/>
      <c r="F30" s="135" t="n"/>
      <c r="G30" s="135" t="n"/>
      <c r="H30" s="135" t="n"/>
      <c r="I30" s="135" t="n"/>
      <c r="J30" s="135" t="n"/>
      <c r="K30" s="135" t="n"/>
      <c r="L30" s="135" t="n"/>
      <c r="M30" s="135" t="n"/>
    </row>
    <row r="31" ht="20" customHeight="1" s="88">
      <c r="A31" s="133" t="inlineStr">
        <is>
          <t>D2</t>
        </is>
      </c>
      <c r="B31" s="134" t="inlineStr">
        <is>
          <t>11:30</t>
        </is>
      </c>
      <c r="C31" s="135" t="n"/>
      <c r="D31" s="135" t="n"/>
      <c r="E31" s="135" t="n"/>
      <c r="F31" s="135" t="n"/>
      <c r="G31" s="135" t="n"/>
      <c r="H31" s="135" t="n"/>
      <c r="I31" s="135" t="n"/>
      <c r="J31" s="135" t="n"/>
      <c r="K31" s="135" t="n"/>
      <c r="L31" s="135" t="n"/>
      <c r="M31" s="135" t="n"/>
    </row>
    <row r="32" ht="20" customHeight="1" s="88">
      <c r="A32" s="136" t="inlineStr">
        <is>
          <t>D2</t>
        </is>
      </c>
      <c r="B32" s="137" t="inlineStr">
        <is>
          <t>12:00</t>
        </is>
      </c>
      <c r="C32" s="135" t="n"/>
      <c r="D32" s="135" t="n"/>
      <c r="E32" s="135" t="n"/>
      <c r="F32" s="135" t="n"/>
      <c r="G32" s="135" t="n"/>
      <c r="H32" s="135" t="n"/>
      <c r="I32" s="135" t="n"/>
      <c r="J32" s="135" t="n"/>
      <c r="K32" s="135" t="n"/>
      <c r="L32" s="135" t="n"/>
      <c r="M32" s="135" t="n"/>
    </row>
    <row r="33" ht="20" customHeight="1" s="88">
      <c r="A33" s="133" t="inlineStr">
        <is>
          <t>D2</t>
        </is>
      </c>
      <c r="B33" s="134" t="inlineStr">
        <is>
          <t>12:30</t>
        </is>
      </c>
      <c r="C33" s="135" t="n"/>
      <c r="D33" s="135" t="n"/>
      <c r="E33" s="135" t="n"/>
      <c r="F33" s="135" t="n"/>
      <c r="G33" s="135" t="n"/>
      <c r="H33" s="135" t="n"/>
      <c r="I33" s="135" t="n"/>
      <c r="J33" s="135" t="n"/>
      <c r="K33" s="135" t="n"/>
      <c r="L33" s="135" t="n"/>
      <c r="M33" s="135" t="n"/>
    </row>
    <row r="34" ht="20" customHeight="1" s="88">
      <c r="A34" s="136" t="inlineStr">
        <is>
          <t>D2</t>
        </is>
      </c>
      <c r="B34" s="137" t="inlineStr">
        <is>
          <t>13:00</t>
        </is>
      </c>
      <c r="C34" s="135" t="n"/>
      <c r="D34" s="135" t="n"/>
      <c r="E34" s="135" t="n"/>
      <c r="F34" s="135" t="n"/>
      <c r="G34" s="135" t="n"/>
      <c r="H34" s="135" t="n"/>
      <c r="I34" s="135" t="n"/>
      <c r="J34" s="135" t="n"/>
      <c r="K34" s="135" t="n"/>
      <c r="L34" s="135" t="n"/>
      <c r="M34" s="135" t="n"/>
    </row>
    <row r="35" ht="20" customHeight="1" s="88">
      <c r="A35" s="133" t="inlineStr">
        <is>
          <t>D2</t>
        </is>
      </c>
      <c r="B35" s="134" t="inlineStr">
        <is>
          <t>13:30</t>
        </is>
      </c>
      <c r="C35" s="135" t="n"/>
      <c r="D35" s="135" t="n"/>
      <c r="E35" s="135" t="n"/>
      <c r="F35" s="135" t="n"/>
      <c r="G35" s="135" t="n"/>
      <c r="H35" s="135" t="n"/>
      <c r="I35" s="135" t="n"/>
      <c r="J35" s="135" t="n"/>
      <c r="K35" s="135" t="n"/>
      <c r="L35" s="135" t="n"/>
      <c r="M35" s="135" t="n"/>
    </row>
    <row r="36" ht="20" customHeight="1" s="88">
      <c r="A36" s="136" t="inlineStr">
        <is>
          <t>D2</t>
        </is>
      </c>
      <c r="B36" s="137" t="inlineStr">
        <is>
          <t>14:00</t>
        </is>
      </c>
      <c r="C36" s="135" t="n"/>
      <c r="D36" s="135" t="n"/>
      <c r="E36" s="135" t="n"/>
      <c r="F36" s="135" t="n"/>
      <c r="G36" s="135" t="n"/>
      <c r="H36" s="135" t="n"/>
      <c r="I36" s="135" t="n"/>
      <c r="J36" s="135" t="n"/>
      <c r="K36" s="135" t="n"/>
      <c r="L36" s="135" t="n"/>
      <c r="M36" s="135" t="n"/>
    </row>
    <row r="37" ht="20" customHeight="1" s="88">
      <c r="A37" s="133" t="inlineStr">
        <is>
          <t>D2</t>
        </is>
      </c>
      <c r="B37" s="134" t="inlineStr">
        <is>
          <t>14:30</t>
        </is>
      </c>
      <c r="C37" s="135" t="n"/>
      <c r="D37" s="135" t="n"/>
      <c r="E37" s="135" t="n"/>
      <c r="F37" s="135" t="n"/>
      <c r="G37" s="135" t="n"/>
      <c r="H37" s="135" t="n"/>
      <c r="I37" s="135" t="n"/>
      <c r="J37" s="135" t="n"/>
      <c r="K37" s="135" t="n"/>
      <c r="L37" s="135" t="n"/>
      <c r="M37" s="135" t="n"/>
    </row>
    <row r="38" ht="20" customHeight="1" s="88">
      <c r="A38" s="136" t="inlineStr">
        <is>
          <t>D2</t>
        </is>
      </c>
      <c r="B38" s="137" t="inlineStr">
        <is>
          <t>15:00</t>
        </is>
      </c>
      <c r="C38" s="135" t="n"/>
      <c r="D38" s="135" t="n"/>
      <c r="E38" s="135" t="n"/>
      <c r="F38" s="135" t="n"/>
      <c r="G38" s="135" t="n"/>
      <c r="H38" s="135" t="n"/>
      <c r="I38" s="135" t="n"/>
      <c r="J38" s="135" t="n"/>
      <c r="K38" s="135" t="n"/>
      <c r="L38" s="135" t="n"/>
      <c r="M38" s="135" t="n"/>
    </row>
    <row r="39" ht="20" customHeight="1" s="88">
      <c r="A39" s="133" t="inlineStr">
        <is>
          <t>D2</t>
        </is>
      </c>
      <c r="B39" s="134" t="inlineStr">
        <is>
          <t>15:30</t>
        </is>
      </c>
      <c r="C39" s="135" t="n"/>
      <c r="D39" s="135" t="n"/>
      <c r="E39" s="135" t="n"/>
      <c r="F39" s="135" t="n"/>
      <c r="G39" s="135" t="n"/>
      <c r="H39" s="135" t="n"/>
      <c r="I39" s="135" t="n"/>
      <c r="J39" s="135" t="n"/>
      <c r="K39" s="135" t="n"/>
      <c r="L39" s="135" t="n"/>
      <c r="M39" s="135" t="n"/>
    </row>
    <row r="40" ht="20" customHeight="1" s="88">
      <c r="A40" s="136" t="inlineStr">
        <is>
          <t>D2</t>
        </is>
      </c>
      <c r="B40" s="137" t="inlineStr">
        <is>
          <t>16:00</t>
        </is>
      </c>
      <c r="C40" s="135" t="n"/>
      <c r="D40" s="135" t="n"/>
      <c r="E40" s="135" t="n"/>
      <c r="F40" s="135" t="n"/>
      <c r="G40" s="135" t="n"/>
      <c r="H40" s="135" t="n"/>
      <c r="I40" s="135" t="n"/>
      <c r="J40" s="135" t="n"/>
      <c r="K40" s="135" t="n"/>
      <c r="L40" s="135" t="n"/>
      <c r="M40" s="135" t="n"/>
    </row>
    <row r="41" ht="20" customHeight="1" s="88">
      <c r="A41" s="133" t="inlineStr">
        <is>
          <t>D2</t>
        </is>
      </c>
      <c r="B41" s="134" t="inlineStr">
        <is>
          <t>16:30</t>
        </is>
      </c>
      <c r="C41" s="135" t="n"/>
      <c r="D41" s="135" t="n"/>
      <c r="E41" s="135" t="n"/>
      <c r="F41" s="135" t="n"/>
      <c r="G41" s="135" t="n"/>
      <c r="H41" s="135" t="n"/>
      <c r="I41" s="135" t="n"/>
      <c r="J41" s="135" t="n"/>
      <c r="K41" s="135" t="n"/>
      <c r="L41" s="135" t="n"/>
      <c r="M41" s="135" t="n"/>
    </row>
    <row r="42" ht="20" customHeight="1" s="88">
      <c r="A42" s="136" t="inlineStr">
        <is>
          <t>D2</t>
        </is>
      </c>
      <c r="B42" s="137" t="inlineStr">
        <is>
          <t>17:00</t>
        </is>
      </c>
      <c r="C42" s="135" t="n"/>
      <c r="D42" s="135" t="n"/>
      <c r="E42" s="135" t="n"/>
      <c r="F42" s="135" t="n"/>
      <c r="G42" s="135" t="n"/>
      <c r="H42" s="135" t="n"/>
      <c r="I42" s="135" t="n"/>
      <c r="J42" s="135" t="n"/>
      <c r="K42" s="135" t="n"/>
      <c r="L42" s="135" t="n"/>
      <c r="M42" s="135" t="n"/>
    </row>
    <row r="43" ht="20" customHeight="1" s="88">
      <c r="A43" s="133" t="inlineStr">
        <is>
          <t>D2</t>
        </is>
      </c>
      <c r="B43" s="134" t="inlineStr">
        <is>
          <t>17:30</t>
        </is>
      </c>
      <c r="C43" s="135" t="n"/>
      <c r="D43" s="135" t="n"/>
      <c r="E43" s="135" t="n"/>
      <c r="F43" s="135" t="n"/>
      <c r="G43" s="135" t="n"/>
      <c r="H43" s="135" t="n"/>
      <c r="I43" s="135" t="n"/>
      <c r="J43" s="135" t="n"/>
      <c r="K43" s="135" t="n"/>
      <c r="L43" s="135" t="n"/>
      <c r="M43" s="135" t="n"/>
    </row>
    <row r="44" ht="20" customHeight="1" s="88">
      <c r="A44" s="130" t="inlineStr">
        <is>
          <t>D3</t>
        </is>
      </c>
      <c r="B44" s="131" t="inlineStr">
        <is>
          <t>08:00</t>
        </is>
      </c>
      <c r="C44" s="132" t="n"/>
      <c r="D44" s="132" t="n"/>
      <c r="E44" s="132" t="n"/>
      <c r="F44" s="132" t="n"/>
      <c r="G44" s="132" t="n"/>
      <c r="H44" s="132" t="n"/>
      <c r="I44" s="132" t="n"/>
      <c r="J44" s="132" t="n"/>
      <c r="K44" s="132" t="n"/>
      <c r="L44" s="132" t="n"/>
      <c r="M44" s="132" t="n"/>
    </row>
    <row r="45" ht="20" customHeight="1" s="88">
      <c r="A45" s="133" t="inlineStr">
        <is>
          <t>D3</t>
        </is>
      </c>
      <c r="B45" s="134" t="inlineStr">
        <is>
          <t>08:30</t>
        </is>
      </c>
      <c r="C45" s="135" t="n"/>
      <c r="D45" s="135" t="n"/>
      <c r="E45" s="135" t="n"/>
      <c r="F45" s="135" t="n"/>
      <c r="G45" s="135" t="n"/>
      <c r="H45" s="135" t="n"/>
      <c r="I45" s="135" t="n"/>
      <c r="J45" s="135" t="n"/>
      <c r="K45" s="135" t="n"/>
      <c r="L45" s="135" t="n"/>
      <c r="M45" s="135" t="n"/>
    </row>
    <row r="46" ht="20" customHeight="1" s="88">
      <c r="A46" s="136" t="inlineStr">
        <is>
          <t>D3</t>
        </is>
      </c>
      <c r="B46" s="137" t="inlineStr">
        <is>
          <t>09:00</t>
        </is>
      </c>
      <c r="C46" s="135" t="n"/>
      <c r="D46" s="135" t="n"/>
      <c r="E46" s="135" t="n"/>
      <c r="F46" s="135" t="n"/>
      <c r="G46" s="135" t="n"/>
      <c r="H46" s="135" t="n"/>
      <c r="I46" s="135" t="n"/>
      <c r="J46" s="135" t="n"/>
      <c r="K46" s="135" t="n"/>
      <c r="L46" s="135" t="n"/>
      <c r="M46" s="135" t="n"/>
    </row>
    <row r="47" ht="20" customHeight="1" s="88">
      <c r="A47" s="133" t="inlineStr">
        <is>
          <t>D3</t>
        </is>
      </c>
      <c r="B47" s="134" t="inlineStr">
        <is>
          <t>09:30</t>
        </is>
      </c>
      <c r="C47" s="135" t="n"/>
      <c r="D47" s="135" t="n"/>
      <c r="E47" s="135" t="n"/>
      <c r="F47" s="135" t="n"/>
      <c r="G47" s="135" t="n"/>
      <c r="H47" s="135" t="n"/>
      <c r="I47" s="135" t="n"/>
      <c r="J47" s="135" t="n"/>
      <c r="K47" s="135" t="n"/>
      <c r="L47" s="135" t="n"/>
      <c r="M47" s="135" t="n"/>
    </row>
    <row r="48" ht="20" customHeight="1" s="88">
      <c r="A48" s="136" t="inlineStr">
        <is>
          <t>D3</t>
        </is>
      </c>
      <c r="B48" s="137" t="inlineStr">
        <is>
          <t>10:00</t>
        </is>
      </c>
      <c r="C48" s="135" t="n"/>
      <c r="D48" s="135" t="n"/>
      <c r="E48" s="135" t="n"/>
      <c r="F48" s="135" t="n"/>
      <c r="G48" s="135" t="n"/>
      <c r="H48" s="135" t="n"/>
      <c r="I48" s="135" t="n"/>
      <c r="J48" s="135" t="n"/>
      <c r="K48" s="135" t="n"/>
      <c r="L48" s="135" t="n"/>
      <c r="M48" s="135" t="n"/>
    </row>
    <row r="49" ht="20" customHeight="1" s="88">
      <c r="A49" s="133" t="inlineStr">
        <is>
          <t>D3</t>
        </is>
      </c>
      <c r="B49" s="134" t="inlineStr">
        <is>
          <t>10:30</t>
        </is>
      </c>
      <c r="C49" s="135" t="n"/>
      <c r="D49" s="135" t="n"/>
      <c r="E49" s="135" t="n"/>
      <c r="F49" s="135" t="n"/>
      <c r="G49" s="135" t="n"/>
      <c r="H49" s="135" t="n"/>
      <c r="I49" s="135" t="n"/>
      <c r="J49" s="135" t="n"/>
      <c r="K49" s="135" t="n"/>
      <c r="L49" s="135" t="n"/>
      <c r="M49" s="135" t="n"/>
    </row>
    <row r="50" ht="20" customHeight="1" s="88">
      <c r="A50" s="136" t="inlineStr">
        <is>
          <t>D3</t>
        </is>
      </c>
      <c r="B50" s="137" t="inlineStr">
        <is>
          <t>11:00</t>
        </is>
      </c>
      <c r="C50" s="135" t="n"/>
      <c r="D50" s="135" t="n"/>
      <c r="E50" s="135" t="n"/>
      <c r="F50" s="135" t="n"/>
      <c r="G50" s="135" t="n"/>
      <c r="H50" s="135" t="n"/>
      <c r="I50" s="135" t="n"/>
      <c r="J50" s="135" t="n"/>
      <c r="K50" s="135" t="n"/>
      <c r="L50" s="135" t="n"/>
      <c r="M50" s="135" t="n"/>
    </row>
    <row r="51" ht="20" customHeight="1" s="88">
      <c r="A51" s="133" t="inlineStr">
        <is>
          <t>D3</t>
        </is>
      </c>
      <c r="B51" s="134" t="inlineStr">
        <is>
          <t>11:30</t>
        </is>
      </c>
      <c r="C51" s="135" t="n"/>
      <c r="D51" s="135" t="n"/>
      <c r="E51" s="135" t="n"/>
      <c r="F51" s="135" t="n"/>
      <c r="G51" s="135" t="n"/>
      <c r="H51" s="135" t="n"/>
      <c r="I51" s="135" t="n"/>
      <c r="J51" s="135" t="n"/>
      <c r="K51" s="135" t="n"/>
      <c r="L51" s="135" t="n"/>
      <c r="M51" s="135" t="n"/>
    </row>
    <row r="52" ht="20" customHeight="1" s="88">
      <c r="A52" s="136" t="inlineStr">
        <is>
          <t>D3</t>
        </is>
      </c>
      <c r="B52" s="137" t="inlineStr">
        <is>
          <t>12:00</t>
        </is>
      </c>
      <c r="C52" s="135" t="n"/>
      <c r="D52" s="135" t="n"/>
      <c r="E52" s="135" t="n"/>
      <c r="F52" s="135" t="n"/>
      <c r="G52" s="135" t="n"/>
      <c r="H52" s="135" t="n"/>
      <c r="I52" s="135" t="n"/>
      <c r="J52" s="135" t="n"/>
      <c r="K52" s="135" t="n"/>
      <c r="L52" s="135" t="n"/>
      <c r="M52" s="135" t="n"/>
    </row>
    <row r="53" ht="20" customHeight="1" s="88">
      <c r="A53" s="133" t="inlineStr">
        <is>
          <t>D3</t>
        </is>
      </c>
      <c r="B53" s="134" t="inlineStr">
        <is>
          <t>12:30</t>
        </is>
      </c>
      <c r="C53" s="135" t="n"/>
      <c r="D53" s="135" t="n"/>
      <c r="E53" s="135" t="n"/>
      <c r="F53" s="135" t="n"/>
      <c r="G53" s="135" t="n"/>
      <c r="H53" s="135" t="n"/>
      <c r="I53" s="135" t="n"/>
      <c r="J53" s="135" t="n"/>
      <c r="K53" s="135" t="n"/>
      <c r="L53" s="135" t="n"/>
      <c r="M53" s="135" t="n"/>
    </row>
    <row r="54" ht="20" customHeight="1" s="88">
      <c r="A54" s="136" t="inlineStr">
        <is>
          <t>D3</t>
        </is>
      </c>
      <c r="B54" s="137" t="inlineStr">
        <is>
          <t>13:00</t>
        </is>
      </c>
      <c r="C54" s="135" t="n"/>
      <c r="D54" s="135" t="n"/>
      <c r="E54" s="135" t="n"/>
      <c r="F54" s="135" t="n"/>
      <c r="G54" s="135" t="n"/>
      <c r="H54" s="135" t="n"/>
      <c r="I54" s="135" t="n"/>
      <c r="J54" s="135" t="n"/>
      <c r="K54" s="135" t="n"/>
      <c r="L54" s="135" t="n"/>
      <c r="M54" s="135" t="n"/>
    </row>
    <row r="55" ht="20" customHeight="1" s="88">
      <c r="A55" s="133" t="inlineStr">
        <is>
          <t>D3</t>
        </is>
      </c>
      <c r="B55" s="134" t="inlineStr">
        <is>
          <t>13:30</t>
        </is>
      </c>
      <c r="C55" s="135" t="n"/>
      <c r="D55" s="135" t="n"/>
      <c r="E55" s="135" t="n"/>
      <c r="F55" s="135" t="n"/>
      <c r="G55" s="135" t="n"/>
      <c r="H55" s="135" t="n"/>
      <c r="I55" s="135" t="n"/>
      <c r="J55" s="135" t="n"/>
      <c r="K55" s="135" t="n"/>
      <c r="L55" s="135" t="n"/>
      <c r="M55" s="135" t="n"/>
    </row>
    <row r="56" ht="20" customHeight="1" s="88">
      <c r="A56" s="136" t="inlineStr">
        <is>
          <t>D3</t>
        </is>
      </c>
      <c r="B56" s="137" t="inlineStr">
        <is>
          <t>14:00</t>
        </is>
      </c>
      <c r="C56" s="135" t="n"/>
      <c r="D56" s="135" t="n"/>
      <c r="E56" s="135" t="n"/>
      <c r="F56" s="135" t="n"/>
      <c r="G56" s="135" t="n"/>
      <c r="H56" s="135" t="n"/>
      <c r="I56" s="135" t="n"/>
      <c r="J56" s="135" t="n"/>
      <c r="K56" s="135" t="n"/>
      <c r="L56" s="135" t="n"/>
      <c r="M56" s="135" t="n"/>
    </row>
    <row r="57" ht="20" customHeight="1" s="88">
      <c r="A57" s="133" t="inlineStr">
        <is>
          <t>D3</t>
        </is>
      </c>
      <c r="B57" s="134" t="inlineStr">
        <is>
          <t>14:30</t>
        </is>
      </c>
      <c r="C57" s="135" t="n"/>
      <c r="D57" s="135" t="n"/>
      <c r="E57" s="135" t="n"/>
      <c r="F57" s="135" t="n"/>
      <c r="G57" s="135" t="n"/>
      <c r="H57" s="135" t="n"/>
      <c r="I57" s="135" t="n"/>
      <c r="J57" s="135" t="n"/>
      <c r="K57" s="135" t="n"/>
      <c r="L57" s="135" t="n"/>
      <c r="M57" s="135" t="n"/>
    </row>
    <row r="58" ht="20" customHeight="1" s="88">
      <c r="A58" s="136" t="inlineStr">
        <is>
          <t>D3</t>
        </is>
      </c>
      <c r="B58" s="137" t="inlineStr">
        <is>
          <t>15:00</t>
        </is>
      </c>
      <c r="C58" s="135" t="n"/>
      <c r="D58" s="135" t="n"/>
      <c r="E58" s="135" t="n"/>
      <c r="F58" s="135" t="n"/>
      <c r="G58" s="135" t="n"/>
      <c r="H58" s="135" t="n"/>
      <c r="I58" s="135" t="n"/>
      <c r="J58" s="135" t="n"/>
      <c r="K58" s="135" t="n"/>
      <c r="L58" s="135" t="n"/>
      <c r="M58" s="135" t="n"/>
    </row>
    <row r="59" ht="20" customHeight="1" s="88">
      <c r="A59" s="133" t="inlineStr">
        <is>
          <t>D3</t>
        </is>
      </c>
      <c r="B59" s="134" t="inlineStr">
        <is>
          <t>15:30</t>
        </is>
      </c>
      <c r="C59" s="135" t="n"/>
      <c r="D59" s="135" t="n"/>
      <c r="E59" s="135" t="n"/>
      <c r="F59" s="135" t="n"/>
      <c r="G59" s="135" t="n"/>
      <c r="H59" s="135" t="n"/>
      <c r="I59" s="135" t="n"/>
      <c r="J59" s="135" t="n"/>
      <c r="K59" s="135" t="n"/>
      <c r="L59" s="135" t="n"/>
      <c r="M59" s="135" t="n"/>
    </row>
    <row r="60" ht="20" customHeight="1" s="88">
      <c r="A60" s="136" t="inlineStr">
        <is>
          <t>D3</t>
        </is>
      </c>
      <c r="B60" s="137" t="inlineStr">
        <is>
          <t>16:00</t>
        </is>
      </c>
      <c r="C60" s="135" t="n"/>
      <c r="D60" s="135" t="n"/>
      <c r="E60" s="135" t="n"/>
      <c r="F60" s="135" t="n"/>
      <c r="G60" s="135" t="n"/>
      <c r="H60" s="135" t="n"/>
      <c r="I60" s="135" t="n"/>
      <c r="J60" s="135" t="n"/>
      <c r="K60" s="135" t="n"/>
      <c r="L60" s="135" t="n"/>
      <c r="M60" s="135" t="n"/>
    </row>
    <row r="61" ht="20" customHeight="1" s="88">
      <c r="A61" s="133" t="inlineStr">
        <is>
          <t>D3</t>
        </is>
      </c>
      <c r="B61" s="134" t="inlineStr">
        <is>
          <t>16:30</t>
        </is>
      </c>
      <c r="C61" s="135" t="n"/>
      <c r="D61" s="135" t="n"/>
      <c r="E61" s="135" t="n"/>
      <c r="F61" s="135" t="n"/>
      <c r="G61" s="135" t="n"/>
      <c r="H61" s="135" t="n"/>
      <c r="I61" s="135" t="n"/>
      <c r="J61" s="135" t="n"/>
      <c r="K61" s="135" t="n"/>
      <c r="L61" s="135" t="n"/>
      <c r="M61" s="135" t="n"/>
    </row>
    <row r="62" ht="20" customHeight="1" s="88">
      <c r="A62" s="136" t="inlineStr">
        <is>
          <t>D3</t>
        </is>
      </c>
      <c r="B62" s="137" t="inlineStr">
        <is>
          <t>17:00</t>
        </is>
      </c>
      <c r="C62" s="135" t="n"/>
      <c r="D62" s="135" t="n"/>
      <c r="E62" s="135" t="n"/>
      <c r="F62" s="135" t="n"/>
      <c r="G62" s="135" t="n"/>
      <c r="H62" s="135" t="n"/>
      <c r="I62" s="135" t="n"/>
      <c r="J62" s="135" t="n"/>
      <c r="K62" s="135" t="n"/>
      <c r="L62" s="135" t="n"/>
      <c r="M62" s="135" t="n"/>
    </row>
    <row r="63" ht="20" customHeight="1" s="88">
      <c r="A63" s="133" t="inlineStr">
        <is>
          <t>D3</t>
        </is>
      </c>
      <c r="B63" s="134" t="inlineStr">
        <is>
          <t>17:30</t>
        </is>
      </c>
      <c r="C63" s="135" t="n"/>
      <c r="D63" s="135" t="n"/>
      <c r="E63" s="135" t="n"/>
      <c r="F63" s="135" t="n"/>
      <c r="G63" s="135" t="n"/>
      <c r="H63" s="135" t="n"/>
      <c r="I63" s="135" t="n"/>
      <c r="J63" s="135" t="n"/>
      <c r="K63" s="135" t="n"/>
      <c r="L63" s="135" t="n"/>
      <c r="M63" s="135" t="n"/>
    </row>
    <row r="64" ht="20" customHeight="1" s="88">
      <c r="A64" s="130" t="inlineStr">
        <is>
          <t>D4</t>
        </is>
      </c>
      <c r="B64" s="131" t="inlineStr">
        <is>
          <t>08:00</t>
        </is>
      </c>
      <c r="C64" s="132" t="n"/>
      <c r="D64" s="132" t="n"/>
      <c r="E64" s="132" t="n"/>
      <c r="F64" s="132" t="n"/>
      <c r="G64" s="132" t="n"/>
      <c r="H64" s="132" t="n"/>
      <c r="I64" s="132" t="n"/>
      <c r="J64" s="132" t="n"/>
      <c r="K64" s="132" t="n"/>
      <c r="L64" s="132" t="n"/>
      <c r="M64" s="132" t="n"/>
    </row>
    <row r="65" ht="20" customHeight="1" s="88">
      <c r="A65" s="133" t="inlineStr">
        <is>
          <t>D4</t>
        </is>
      </c>
      <c r="B65" s="134" t="inlineStr">
        <is>
          <t>08:30</t>
        </is>
      </c>
      <c r="C65" s="135" t="n"/>
      <c r="D65" s="135" t="n"/>
      <c r="E65" s="135" t="n"/>
      <c r="F65" s="135" t="n"/>
      <c r="G65" s="135" t="n"/>
      <c r="H65" s="135" t="n"/>
      <c r="I65" s="135" t="n"/>
      <c r="J65" s="135" t="n"/>
      <c r="K65" s="135" t="n"/>
      <c r="L65" s="135" t="n"/>
      <c r="M65" s="135" t="n"/>
    </row>
    <row r="66" ht="20" customHeight="1" s="88">
      <c r="A66" s="136" t="inlineStr">
        <is>
          <t>D4</t>
        </is>
      </c>
      <c r="B66" s="137" t="inlineStr">
        <is>
          <t>09:00</t>
        </is>
      </c>
      <c r="C66" s="135" t="n"/>
      <c r="D66" s="135" t="n"/>
      <c r="E66" s="135" t="n"/>
      <c r="F66" s="135" t="n"/>
      <c r="G66" s="135" t="n"/>
      <c r="H66" s="135" t="n"/>
      <c r="I66" s="135" t="n"/>
      <c r="J66" s="135" t="n"/>
      <c r="K66" s="135" t="n"/>
      <c r="L66" s="135" t="n"/>
      <c r="M66" s="135" t="n"/>
    </row>
    <row r="67" ht="20" customHeight="1" s="88">
      <c r="A67" s="133" t="inlineStr">
        <is>
          <t>D4</t>
        </is>
      </c>
      <c r="B67" s="134" t="inlineStr">
        <is>
          <t>09:30</t>
        </is>
      </c>
      <c r="C67" s="135" t="n"/>
      <c r="D67" s="135" t="n"/>
      <c r="E67" s="135" t="n"/>
      <c r="F67" s="135" t="n"/>
      <c r="G67" s="135" t="n"/>
      <c r="H67" s="135" t="n"/>
      <c r="I67" s="135" t="n"/>
      <c r="J67" s="135" t="n"/>
      <c r="K67" s="135" t="n"/>
      <c r="L67" s="135" t="n"/>
      <c r="M67" s="135" t="n"/>
    </row>
    <row r="68" ht="20" customHeight="1" s="88">
      <c r="A68" s="136" t="inlineStr">
        <is>
          <t>D4</t>
        </is>
      </c>
      <c r="B68" s="137" t="inlineStr">
        <is>
          <t>10:00</t>
        </is>
      </c>
      <c r="C68" s="135" t="n"/>
      <c r="D68" s="135" t="n"/>
      <c r="E68" s="135" t="n"/>
      <c r="F68" s="135" t="n"/>
      <c r="G68" s="135" t="n"/>
      <c r="H68" s="135" t="n"/>
      <c r="I68" s="135" t="n"/>
      <c r="J68" s="135" t="n"/>
      <c r="K68" s="135" t="n"/>
      <c r="L68" s="135" t="n"/>
      <c r="M68" s="135" t="n"/>
    </row>
    <row r="69" ht="20" customHeight="1" s="88">
      <c r="A69" s="133" t="inlineStr">
        <is>
          <t>D4</t>
        </is>
      </c>
      <c r="B69" s="134" t="inlineStr">
        <is>
          <t>10:30</t>
        </is>
      </c>
      <c r="C69" s="135" t="n"/>
      <c r="D69" s="135" t="n"/>
      <c r="E69" s="135" t="n"/>
      <c r="F69" s="135" t="n"/>
      <c r="G69" s="135" t="n"/>
      <c r="H69" s="135" t="n"/>
      <c r="I69" s="135" t="n"/>
      <c r="J69" s="135" t="n"/>
      <c r="K69" s="135" t="n"/>
      <c r="L69" s="135" t="n"/>
      <c r="M69" s="135" t="n"/>
    </row>
    <row r="70" ht="20" customHeight="1" s="88">
      <c r="A70" s="136" t="inlineStr">
        <is>
          <t>D4</t>
        </is>
      </c>
      <c r="B70" s="137" t="inlineStr">
        <is>
          <t>11:00</t>
        </is>
      </c>
      <c r="C70" s="135" t="n"/>
      <c r="D70" s="135" t="n"/>
      <c r="E70" s="135" t="n"/>
      <c r="F70" s="135" t="n"/>
      <c r="G70" s="135" t="n"/>
      <c r="H70" s="135" t="n"/>
      <c r="I70" s="135" t="n"/>
      <c r="J70" s="135" t="n"/>
      <c r="K70" s="135" t="n"/>
      <c r="L70" s="135" t="n"/>
      <c r="M70" s="135" t="n"/>
    </row>
    <row r="71" ht="20" customHeight="1" s="88">
      <c r="A71" s="133" t="inlineStr">
        <is>
          <t>D4</t>
        </is>
      </c>
      <c r="B71" s="134" t="inlineStr">
        <is>
          <t>11:30</t>
        </is>
      </c>
      <c r="C71" s="135" t="n"/>
      <c r="D71" s="135" t="n"/>
      <c r="E71" s="135" t="n"/>
      <c r="F71" s="135" t="n"/>
      <c r="G71" s="135" t="n"/>
      <c r="H71" s="135" t="n"/>
      <c r="I71" s="135" t="n"/>
      <c r="J71" s="135" t="n"/>
      <c r="K71" s="135" t="n"/>
      <c r="L71" s="135" t="n"/>
      <c r="M71" s="135" t="n"/>
    </row>
    <row r="72" ht="20" customHeight="1" s="88">
      <c r="A72" s="136" t="inlineStr">
        <is>
          <t>D4</t>
        </is>
      </c>
      <c r="B72" s="137" t="inlineStr">
        <is>
          <t>12:00</t>
        </is>
      </c>
      <c r="C72" s="135" t="n"/>
      <c r="D72" s="135" t="n"/>
      <c r="E72" s="135" t="n"/>
      <c r="F72" s="135" t="n"/>
      <c r="G72" s="135" t="n"/>
      <c r="H72" s="135" t="n"/>
      <c r="I72" s="135" t="n"/>
      <c r="J72" s="135" t="n"/>
      <c r="K72" s="135" t="n"/>
      <c r="L72" s="135" t="n"/>
      <c r="M72" s="135" t="n"/>
    </row>
    <row r="73" ht="20" customHeight="1" s="88">
      <c r="A73" s="133" t="inlineStr">
        <is>
          <t>D4</t>
        </is>
      </c>
      <c r="B73" s="134" t="inlineStr">
        <is>
          <t>12:30</t>
        </is>
      </c>
      <c r="C73" s="135" t="n"/>
      <c r="D73" s="135" t="n"/>
      <c r="E73" s="135" t="n"/>
      <c r="F73" s="135" t="n"/>
      <c r="G73" s="135" t="n"/>
      <c r="H73" s="135" t="n"/>
      <c r="I73" s="135" t="n"/>
      <c r="J73" s="135" t="n"/>
      <c r="K73" s="135" t="n"/>
      <c r="L73" s="135" t="n"/>
      <c r="M73" s="135" t="n"/>
    </row>
    <row r="74" ht="20" customHeight="1" s="88">
      <c r="A74" s="136" t="inlineStr">
        <is>
          <t>D4</t>
        </is>
      </c>
      <c r="B74" s="137" t="inlineStr">
        <is>
          <t>13:00</t>
        </is>
      </c>
      <c r="C74" s="135" t="n"/>
      <c r="D74" s="135" t="n"/>
      <c r="E74" s="135" t="n"/>
      <c r="F74" s="135" t="n"/>
      <c r="G74" s="135" t="n"/>
      <c r="H74" s="135" t="n"/>
      <c r="I74" s="135" t="n"/>
      <c r="J74" s="135" t="n"/>
      <c r="K74" s="135" t="n"/>
      <c r="L74" s="135" t="n"/>
      <c r="M74" s="135" t="n"/>
    </row>
    <row r="75" ht="20" customHeight="1" s="88">
      <c r="A75" s="133" t="inlineStr">
        <is>
          <t>D4</t>
        </is>
      </c>
      <c r="B75" s="134" t="inlineStr">
        <is>
          <t>13:30</t>
        </is>
      </c>
      <c r="C75" s="135" t="n"/>
      <c r="D75" s="135" t="n"/>
      <c r="E75" s="135" t="n"/>
      <c r="F75" s="135" t="n"/>
      <c r="G75" s="135" t="n"/>
      <c r="H75" s="135" t="n"/>
      <c r="I75" s="135" t="n"/>
      <c r="J75" s="135" t="n"/>
      <c r="K75" s="135" t="n"/>
      <c r="L75" s="135" t="n"/>
      <c r="M75" s="135" t="n"/>
    </row>
    <row r="76" ht="20" customHeight="1" s="88">
      <c r="A76" s="136" t="inlineStr">
        <is>
          <t>D4</t>
        </is>
      </c>
      <c r="B76" s="137" t="inlineStr">
        <is>
          <t>14:00</t>
        </is>
      </c>
      <c r="C76" s="135" t="n"/>
      <c r="D76" s="135" t="n"/>
      <c r="E76" s="135" t="n"/>
      <c r="F76" s="135" t="n"/>
      <c r="G76" s="135" t="n"/>
      <c r="H76" s="135" t="n"/>
      <c r="I76" s="135" t="n"/>
      <c r="J76" s="135" t="n"/>
      <c r="K76" s="135" t="n"/>
      <c r="L76" s="135" t="n"/>
      <c r="M76" s="135" t="n"/>
    </row>
    <row r="77" ht="20" customHeight="1" s="88">
      <c r="A77" s="133" t="inlineStr">
        <is>
          <t>D4</t>
        </is>
      </c>
      <c r="B77" s="134" t="inlineStr">
        <is>
          <t>14:30</t>
        </is>
      </c>
      <c r="C77" s="135" t="n"/>
      <c r="D77" s="135" t="n"/>
      <c r="E77" s="135" t="n"/>
      <c r="F77" s="135" t="n"/>
      <c r="G77" s="135" t="n"/>
      <c r="H77" s="135" t="n"/>
      <c r="I77" s="135" t="n"/>
      <c r="J77" s="135" t="n"/>
      <c r="K77" s="135" t="n"/>
      <c r="L77" s="135" t="n"/>
      <c r="M77" s="135" t="n"/>
    </row>
    <row r="78" ht="20" customHeight="1" s="88">
      <c r="A78" s="136" t="inlineStr">
        <is>
          <t>D4</t>
        </is>
      </c>
      <c r="B78" s="137" t="inlineStr">
        <is>
          <t>15:00</t>
        </is>
      </c>
      <c r="C78" s="135" t="n"/>
      <c r="D78" s="135" t="n"/>
      <c r="E78" s="135" t="n"/>
      <c r="F78" s="135" t="n"/>
      <c r="G78" s="135" t="n"/>
      <c r="H78" s="135" t="n"/>
      <c r="I78" s="135" t="n"/>
      <c r="J78" s="135" t="n"/>
      <c r="K78" s="135" t="n"/>
      <c r="L78" s="135" t="n"/>
      <c r="M78" s="135" t="n"/>
    </row>
    <row r="79" ht="20" customHeight="1" s="88">
      <c r="A79" s="133" t="inlineStr">
        <is>
          <t>D4</t>
        </is>
      </c>
      <c r="B79" s="134" t="inlineStr">
        <is>
          <t>15:30</t>
        </is>
      </c>
      <c r="C79" s="135" t="n"/>
      <c r="D79" s="135" t="n"/>
      <c r="E79" s="135" t="n"/>
      <c r="F79" s="135" t="n"/>
      <c r="G79" s="135" t="n"/>
      <c r="H79" s="135" t="n"/>
      <c r="I79" s="135" t="n"/>
      <c r="J79" s="135" t="n"/>
      <c r="K79" s="135" t="n"/>
      <c r="L79" s="135" t="n"/>
      <c r="M79" s="135" t="n"/>
    </row>
    <row r="80" ht="20" customHeight="1" s="88">
      <c r="A80" s="136" t="inlineStr">
        <is>
          <t>D4</t>
        </is>
      </c>
      <c r="B80" s="137" t="inlineStr">
        <is>
          <t>16:00</t>
        </is>
      </c>
      <c r="C80" s="135" t="n"/>
      <c r="D80" s="135" t="n"/>
      <c r="E80" s="135" t="n"/>
      <c r="F80" s="135" t="n"/>
      <c r="G80" s="135" t="n"/>
      <c r="H80" s="135" t="n"/>
      <c r="I80" s="135" t="n"/>
      <c r="J80" s="135" t="n"/>
      <c r="K80" s="135" t="n"/>
      <c r="L80" s="135" t="n"/>
      <c r="M80" s="135" t="n"/>
    </row>
    <row r="81" ht="20" customHeight="1" s="88">
      <c r="A81" s="133" t="inlineStr">
        <is>
          <t>D4</t>
        </is>
      </c>
      <c r="B81" s="134" t="inlineStr">
        <is>
          <t>16:30</t>
        </is>
      </c>
      <c r="C81" s="135" t="n"/>
      <c r="D81" s="135" t="n"/>
      <c r="E81" s="135" t="n"/>
      <c r="F81" s="135" t="n"/>
      <c r="G81" s="135" t="n"/>
      <c r="H81" s="135" t="n"/>
      <c r="I81" s="135" t="n"/>
      <c r="J81" s="135" t="n"/>
      <c r="K81" s="135" t="n"/>
      <c r="L81" s="135" t="n"/>
      <c r="M81" s="135" t="n"/>
    </row>
    <row r="82" ht="20" customHeight="1" s="88">
      <c r="A82" s="136" t="inlineStr">
        <is>
          <t>D4</t>
        </is>
      </c>
      <c r="B82" s="137" t="inlineStr">
        <is>
          <t>17:00</t>
        </is>
      </c>
      <c r="C82" s="135" t="n"/>
      <c r="D82" s="135" t="n"/>
      <c r="E82" s="135" t="n"/>
      <c r="F82" s="135" t="n"/>
      <c r="G82" s="135" t="n"/>
      <c r="H82" s="135" t="n"/>
      <c r="I82" s="135" t="n"/>
      <c r="J82" s="135" t="n"/>
      <c r="K82" s="135" t="n"/>
      <c r="L82" s="135" t="n"/>
      <c r="M82" s="135" t="n"/>
    </row>
    <row r="83" ht="20" customHeight="1" s="88">
      <c r="A83" s="133" t="inlineStr">
        <is>
          <t>D4</t>
        </is>
      </c>
      <c r="B83" s="134" t="inlineStr">
        <is>
          <t>17:30</t>
        </is>
      </c>
      <c r="C83" s="135" t="n"/>
      <c r="D83" s="135" t="n"/>
      <c r="E83" s="135" t="n"/>
      <c r="F83" s="135" t="n"/>
      <c r="G83" s="135" t="n"/>
      <c r="H83" s="135" t="n"/>
      <c r="I83" s="135" t="n"/>
      <c r="J83" s="135" t="n"/>
      <c r="K83" s="135" t="n"/>
      <c r="L83" s="135" t="n"/>
      <c r="M83" s="135" t="n"/>
    </row>
    <row r="84" ht="20" customHeight="1" s="88">
      <c r="A84" s="130" t="inlineStr">
        <is>
          <t>D5</t>
        </is>
      </c>
      <c r="B84" s="131" t="inlineStr">
        <is>
          <t>08:00</t>
        </is>
      </c>
      <c r="C84" s="132" t="n"/>
      <c r="D84" s="132" t="n"/>
      <c r="E84" s="132" t="n"/>
      <c r="F84" s="132" t="n"/>
      <c r="G84" s="132" t="n"/>
      <c r="H84" s="132" t="n"/>
      <c r="I84" s="132" t="n"/>
      <c r="J84" s="132" t="n"/>
      <c r="K84" s="132" t="n"/>
      <c r="L84" s="132" t="n"/>
      <c r="M84" s="132" t="n"/>
    </row>
    <row r="85" ht="20" customHeight="1" s="88">
      <c r="A85" s="133" t="inlineStr">
        <is>
          <t>D5</t>
        </is>
      </c>
      <c r="B85" s="134" t="inlineStr">
        <is>
          <t>08:30</t>
        </is>
      </c>
      <c r="C85" s="135" t="n"/>
      <c r="D85" s="135" t="n"/>
      <c r="E85" s="135" t="n"/>
      <c r="F85" s="135" t="n"/>
      <c r="G85" s="135" t="n"/>
      <c r="H85" s="135" t="n"/>
      <c r="I85" s="135" t="n"/>
      <c r="J85" s="135" t="n"/>
      <c r="K85" s="135" t="n"/>
      <c r="L85" s="135" t="n"/>
      <c r="M85" s="135" t="n"/>
    </row>
    <row r="86" ht="20" customHeight="1" s="88">
      <c r="A86" s="136" t="inlineStr">
        <is>
          <t>D5</t>
        </is>
      </c>
      <c r="B86" s="137" t="inlineStr">
        <is>
          <t>09:00</t>
        </is>
      </c>
      <c r="C86" s="135" t="n"/>
      <c r="D86" s="135" t="n"/>
      <c r="E86" s="135" t="n"/>
      <c r="F86" s="135" t="n"/>
      <c r="G86" s="135" t="n"/>
      <c r="H86" s="135" t="n"/>
      <c r="I86" s="135" t="n"/>
      <c r="J86" s="135" t="n"/>
      <c r="K86" s="135" t="n"/>
      <c r="L86" s="135" t="n"/>
      <c r="M86" s="135" t="n"/>
    </row>
    <row r="87" ht="20" customHeight="1" s="88">
      <c r="A87" s="133" t="inlineStr">
        <is>
          <t>D5</t>
        </is>
      </c>
      <c r="B87" s="134" t="inlineStr">
        <is>
          <t>09:30</t>
        </is>
      </c>
      <c r="C87" s="135" t="n"/>
      <c r="D87" s="135" t="n"/>
      <c r="E87" s="135" t="n"/>
      <c r="F87" s="135" t="n"/>
      <c r="G87" s="135" t="n"/>
      <c r="H87" s="135" t="n"/>
      <c r="I87" s="135" t="n"/>
      <c r="J87" s="135" t="n"/>
      <c r="K87" s="135" t="n"/>
      <c r="L87" s="135" t="n"/>
      <c r="M87" s="135" t="n"/>
    </row>
    <row r="88" ht="20" customHeight="1" s="88">
      <c r="A88" s="136" t="inlineStr">
        <is>
          <t>D5</t>
        </is>
      </c>
      <c r="B88" s="137" t="inlineStr">
        <is>
          <t>10:00</t>
        </is>
      </c>
      <c r="C88" s="135" t="n"/>
      <c r="D88" s="135" t="n"/>
      <c r="E88" s="135" t="n"/>
      <c r="F88" s="135" t="n"/>
      <c r="G88" s="135" t="n"/>
      <c r="H88" s="135" t="n"/>
      <c r="I88" s="135" t="n"/>
      <c r="J88" s="135" t="n"/>
      <c r="K88" s="135" t="n"/>
      <c r="L88" s="135" t="n"/>
      <c r="M88" s="135" t="n"/>
    </row>
    <row r="89" ht="20" customHeight="1" s="88">
      <c r="A89" s="133" t="inlineStr">
        <is>
          <t>D5</t>
        </is>
      </c>
      <c r="B89" s="134" t="inlineStr">
        <is>
          <t>10:30</t>
        </is>
      </c>
      <c r="C89" s="135" t="n"/>
      <c r="D89" s="135" t="n"/>
      <c r="E89" s="135" t="n"/>
      <c r="F89" s="135" t="n"/>
      <c r="G89" s="135" t="n"/>
      <c r="H89" s="135" t="n"/>
      <c r="I89" s="135" t="n"/>
      <c r="J89" s="135" t="n"/>
      <c r="K89" s="135" t="n"/>
      <c r="L89" s="135" t="n"/>
      <c r="M89" s="135" t="n"/>
    </row>
    <row r="90" ht="20" customHeight="1" s="88">
      <c r="A90" s="136" t="inlineStr">
        <is>
          <t>D5</t>
        </is>
      </c>
      <c r="B90" s="137" t="inlineStr">
        <is>
          <t>11:00</t>
        </is>
      </c>
      <c r="C90" s="135" t="n"/>
      <c r="D90" s="135" t="n"/>
      <c r="E90" s="135" t="n"/>
      <c r="F90" s="135" t="n"/>
      <c r="G90" s="135" t="n"/>
      <c r="H90" s="135" t="n"/>
      <c r="I90" s="135" t="n"/>
      <c r="J90" s="135" t="n"/>
      <c r="K90" s="135" t="n"/>
      <c r="L90" s="135" t="n"/>
      <c r="M90" s="135" t="n"/>
    </row>
    <row r="91" ht="20" customHeight="1" s="88">
      <c r="A91" s="133" t="inlineStr">
        <is>
          <t>D5</t>
        </is>
      </c>
      <c r="B91" s="134" t="inlineStr">
        <is>
          <t>11:30</t>
        </is>
      </c>
      <c r="C91" s="135" t="n"/>
      <c r="D91" s="135" t="n"/>
      <c r="E91" s="135" t="n"/>
      <c r="F91" s="135" t="n"/>
      <c r="G91" s="135" t="n"/>
      <c r="H91" s="135" t="n"/>
      <c r="I91" s="135" t="n"/>
      <c r="J91" s="135" t="n"/>
      <c r="K91" s="135" t="n"/>
      <c r="L91" s="135" t="n"/>
      <c r="M91" s="135" t="n"/>
    </row>
    <row r="92" ht="20" customHeight="1" s="88">
      <c r="A92" s="136" t="inlineStr">
        <is>
          <t>D5</t>
        </is>
      </c>
      <c r="B92" s="137" t="inlineStr">
        <is>
          <t>12:00</t>
        </is>
      </c>
      <c r="C92" s="135" t="n"/>
      <c r="D92" s="135" t="n"/>
      <c r="E92" s="135" t="n"/>
      <c r="F92" s="135" t="n"/>
      <c r="G92" s="135" t="n"/>
      <c r="H92" s="135" t="n"/>
      <c r="I92" s="135" t="n"/>
      <c r="J92" s="135" t="n"/>
      <c r="K92" s="135" t="n"/>
      <c r="L92" s="135" t="n"/>
      <c r="M92" s="135" t="n"/>
    </row>
    <row r="93" ht="20" customHeight="1" s="88">
      <c r="A93" s="133" t="inlineStr">
        <is>
          <t>D5</t>
        </is>
      </c>
      <c r="B93" s="134" t="inlineStr">
        <is>
          <t>12:30</t>
        </is>
      </c>
      <c r="C93" s="135" t="n"/>
      <c r="D93" s="135" t="n"/>
      <c r="E93" s="135" t="n"/>
      <c r="F93" s="135" t="n"/>
      <c r="G93" s="135" t="n"/>
      <c r="H93" s="135" t="n"/>
      <c r="I93" s="135" t="n"/>
      <c r="J93" s="135" t="n"/>
      <c r="K93" s="135" t="n"/>
      <c r="L93" s="135" t="n"/>
      <c r="M93" s="135" t="n"/>
    </row>
    <row r="94" ht="20" customHeight="1" s="88">
      <c r="A94" s="136" t="inlineStr">
        <is>
          <t>D5</t>
        </is>
      </c>
      <c r="B94" s="137" t="inlineStr">
        <is>
          <t>13:00</t>
        </is>
      </c>
      <c r="C94" s="135" t="n"/>
      <c r="D94" s="135" t="n"/>
      <c r="E94" s="135" t="n"/>
      <c r="F94" s="135" t="n"/>
      <c r="G94" s="135" t="n"/>
      <c r="H94" s="135" t="n"/>
      <c r="I94" s="135" t="n"/>
      <c r="J94" s="135" t="n"/>
      <c r="K94" s="135" t="n"/>
      <c r="L94" s="135" t="n"/>
      <c r="M94" s="135" t="n"/>
    </row>
    <row r="95" ht="20" customHeight="1" s="88">
      <c r="A95" s="133" t="inlineStr">
        <is>
          <t>D5</t>
        </is>
      </c>
      <c r="B95" s="134" t="inlineStr">
        <is>
          <t>13:30</t>
        </is>
      </c>
      <c r="C95" s="135" t="n"/>
      <c r="D95" s="135" t="n"/>
      <c r="E95" s="135" t="n"/>
      <c r="F95" s="135" t="n"/>
      <c r="G95" s="135" t="n"/>
      <c r="H95" s="135" t="n"/>
      <c r="I95" s="135" t="n"/>
      <c r="J95" s="135" t="n"/>
      <c r="K95" s="135" t="n"/>
      <c r="L95" s="135" t="n"/>
      <c r="M95" s="135" t="n"/>
    </row>
    <row r="96" ht="20" customHeight="1" s="88">
      <c r="A96" s="136" t="inlineStr">
        <is>
          <t>D5</t>
        </is>
      </c>
      <c r="B96" s="137" t="inlineStr">
        <is>
          <t>14:00</t>
        </is>
      </c>
      <c r="C96" s="135" t="n"/>
      <c r="D96" s="135" t="n"/>
      <c r="E96" s="135" t="n"/>
      <c r="F96" s="135" t="n"/>
      <c r="G96" s="135" t="n"/>
      <c r="H96" s="135" t="n"/>
      <c r="I96" s="135" t="n"/>
      <c r="J96" s="135" t="n"/>
      <c r="K96" s="135" t="n"/>
      <c r="L96" s="135" t="n"/>
      <c r="M96" s="135" t="n"/>
    </row>
    <row r="97" ht="20" customHeight="1" s="88">
      <c r="A97" s="133" t="inlineStr">
        <is>
          <t>D5</t>
        </is>
      </c>
      <c r="B97" s="134" t="inlineStr">
        <is>
          <t>14:30</t>
        </is>
      </c>
      <c r="C97" s="135" t="n"/>
      <c r="D97" s="135" t="n"/>
      <c r="E97" s="135" t="n"/>
      <c r="F97" s="135" t="n"/>
      <c r="G97" s="135" t="n"/>
      <c r="H97" s="135" t="n"/>
      <c r="I97" s="135" t="n"/>
      <c r="J97" s="135" t="n"/>
      <c r="K97" s="135" t="n"/>
      <c r="L97" s="135" t="n"/>
      <c r="M97" s="135" t="n"/>
    </row>
    <row r="98" ht="20" customHeight="1" s="88">
      <c r="A98" s="136" t="inlineStr">
        <is>
          <t>D5</t>
        </is>
      </c>
      <c r="B98" s="137" t="inlineStr">
        <is>
          <t>15:00</t>
        </is>
      </c>
      <c r="C98" s="135" t="n"/>
      <c r="D98" s="135" t="n"/>
      <c r="E98" s="135" t="n"/>
      <c r="F98" s="135" t="n"/>
      <c r="G98" s="135" t="n"/>
      <c r="H98" s="135" t="n"/>
      <c r="I98" s="135" t="n"/>
      <c r="J98" s="135" t="n"/>
      <c r="K98" s="135" t="n"/>
      <c r="L98" s="135" t="n"/>
      <c r="M98" s="135" t="n"/>
    </row>
    <row r="99" ht="20" customHeight="1" s="88">
      <c r="A99" s="133" t="inlineStr">
        <is>
          <t>D5</t>
        </is>
      </c>
      <c r="B99" s="134" t="inlineStr">
        <is>
          <t>15:30</t>
        </is>
      </c>
      <c r="C99" s="135" t="n"/>
      <c r="D99" s="135" t="n"/>
      <c r="E99" s="135" t="n"/>
      <c r="F99" s="135" t="n"/>
      <c r="G99" s="135" t="n"/>
      <c r="H99" s="135" t="n"/>
      <c r="I99" s="135" t="n"/>
      <c r="J99" s="135" t="n"/>
      <c r="K99" s="135" t="n"/>
      <c r="L99" s="135" t="n"/>
      <c r="M99" s="135" t="n"/>
    </row>
    <row r="100" ht="20" customHeight="1" s="88">
      <c r="A100" s="136" t="inlineStr">
        <is>
          <t>D5</t>
        </is>
      </c>
      <c r="B100" s="137" t="inlineStr">
        <is>
          <t>16:00</t>
        </is>
      </c>
      <c r="C100" s="135" t="n"/>
      <c r="D100" s="135" t="n"/>
      <c r="E100" s="135" t="n"/>
      <c r="F100" s="135" t="n"/>
      <c r="G100" s="135" t="n"/>
      <c r="H100" s="135" t="n"/>
      <c r="I100" s="135" t="n"/>
      <c r="J100" s="135" t="n"/>
      <c r="K100" s="135" t="n"/>
      <c r="L100" s="135" t="n"/>
      <c r="M100" s="135" t="n"/>
    </row>
    <row r="101" ht="20" customHeight="1" s="88">
      <c r="A101" s="133" t="inlineStr">
        <is>
          <t>D5</t>
        </is>
      </c>
      <c r="B101" s="134" t="inlineStr">
        <is>
          <t>16:30</t>
        </is>
      </c>
      <c r="C101" s="135" t="n"/>
      <c r="D101" s="135" t="n"/>
      <c r="E101" s="135" t="n"/>
      <c r="F101" s="135" t="n"/>
      <c r="G101" s="135" t="n"/>
      <c r="H101" s="135" t="n"/>
      <c r="I101" s="135" t="n"/>
      <c r="J101" s="135" t="n"/>
      <c r="K101" s="135" t="n"/>
      <c r="L101" s="135" t="n"/>
      <c r="M101" s="135" t="n"/>
    </row>
    <row r="102" ht="20" customHeight="1" s="88">
      <c r="A102" s="136" t="inlineStr">
        <is>
          <t>D5</t>
        </is>
      </c>
      <c r="B102" s="137" t="inlineStr">
        <is>
          <t>17:00</t>
        </is>
      </c>
      <c r="C102" s="135" t="n"/>
      <c r="D102" s="135" t="n"/>
      <c r="E102" s="135" t="n"/>
      <c r="F102" s="135" t="n"/>
      <c r="G102" s="135" t="n"/>
      <c r="H102" s="135" t="n"/>
      <c r="I102" s="135" t="n"/>
      <c r="J102" s="135" t="n"/>
      <c r="K102" s="135" t="n"/>
      <c r="L102" s="135" t="n"/>
      <c r="M102" s="135" t="n"/>
    </row>
    <row r="103" ht="20" customHeight="1" s="88">
      <c r="A103" s="133" t="inlineStr">
        <is>
          <t>D5</t>
        </is>
      </c>
      <c r="B103" s="134" t="inlineStr">
        <is>
          <t>17:30</t>
        </is>
      </c>
      <c r="C103" s="135" t="n"/>
      <c r="D103" s="135" t="n"/>
      <c r="E103" s="135" t="n"/>
      <c r="F103" s="135" t="n"/>
      <c r="G103" s="135" t="n"/>
      <c r="H103" s="135" t="n"/>
      <c r="I103" s="135" t="n"/>
      <c r="J103" s="135" t="n"/>
      <c r="K103" s="135" t="n"/>
      <c r="L103" s="135" t="n"/>
      <c r="M103" s="135" t="n"/>
    </row>
    <row r="105" ht="36" customHeight="1" s="88">
      <c r="A105" s="138" t="inlineStr">
        <is>
          <t>Run macro: Alt+F8 → RefreshRoomGrid → Run. Blue cells = session booked. Blank = available. To add a room: insert column, type header in row 2 and role in row 3, then re-run macro.</t>
        </is>
      </c>
    </row>
  </sheetData>
  <mergeCells count="2">
    <mergeCell ref="A105:M105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tabColor rgb="FF2563EB"/>
    <outlinePr summaryBelow="1" summaryRight="1"/>
    <pageSetUpPr fitToPage="1"/>
  </sheetPr>
  <dimension ref="A1:I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87" min="1" max="1"/>
    <col width="28" customWidth="1" style="87" min="2" max="5"/>
    <col hidden="1" width="2" customWidth="1" style="87" min="6" max="9"/>
  </cols>
  <sheetData>
    <row r="1" ht="42" customHeight="1" s="88">
      <c r="A1" s="108" t="inlineStr">
        <is>
          <t>DAY 1: Mon Mar 9</t>
        </is>
      </c>
      <c r="G1" s="139" t="n"/>
      <c r="H1" s="139" t="n"/>
    </row>
    <row r="2" ht="24" customHeight="1" s="88">
      <c r="A2" s="140" t="inlineStr">
        <is>
          <t>REFRESHED: 08 Mar 2026 13:00  |  4 tracks + Overall  |  Workshop 2026</t>
        </is>
      </c>
      <c r="G2" s="139" t="n"/>
      <c r="H2" s="139" t="n"/>
    </row>
    <row r="3" ht="31.5" customHeight="1" s="88">
      <c r="A3" s="141" t="inlineStr">
        <is>
          <t>TIME</t>
        </is>
      </c>
      <c r="B3" s="142" t="inlineStr">
        <is>
          <t>OVERALL</t>
        </is>
      </c>
      <c r="C3" s="143" t="inlineStr">
        <is>
          <t>LEADERSHIP</t>
        </is>
      </c>
      <c r="D3" s="144" t="inlineStr">
        <is>
          <t>TECHNICAL</t>
        </is>
      </c>
      <c r="E3" s="145" t="inlineStr">
        <is>
          <t>DESIGN THINKING</t>
        </is>
      </c>
      <c r="F3" s="146" t="inlineStr">
        <is>
          <t>OPERATIONS</t>
        </is>
      </c>
      <c r="G3" s="139" t="n"/>
      <c r="H3" s="139" t="n"/>
    </row>
    <row r="4" ht="33.75" customHeight="1" s="88">
      <c r="A4" s="147" t="inlineStr">
        <is>
          <t>08:00</t>
        </is>
      </c>
      <c r="B4" s="148" t="n"/>
      <c r="C4" s="148" t="n"/>
      <c r="D4" s="148" t="n"/>
      <c r="E4" s="148" t="n"/>
      <c r="F4" s="148" t="n"/>
      <c r="G4" s="139" t="n"/>
      <c r="H4" s="139" t="n"/>
      <c r="I4" s="87">
        <f>IFERROR(INDEX(SessionDB!$H$2:$H$64,MATCH(1,(SessionDB!$B$2:$B$64=1)*(SessionDB!$C$2:$C$64=$A4)*((SessionDB!$I$2:$I$64=$E$3)+(SessionDB!$I$2:$I$64="all")),0)),IFERROR(INDEX(SessionDB!$H$2:$H$64,MATCH(1,(SessionDB!$B$2:$B$64=1)*(SessionDB!$C$2:$C$64&lt;$A4)*(SessionDB!$D$2:$D$64&gt;$A4)*((SessionDB!$I$2:$I$64=$E$3)+(SessionDB!$I$2:$I$64="all")),0)),""))</f>
        <v/>
      </c>
    </row>
    <row r="5" ht="33.75" customHeight="1" s="88">
      <c r="A5" s="149" t="inlineStr">
        <is>
          <t>08:30</t>
        </is>
      </c>
      <c r="B5" s="148" t="n"/>
      <c r="C5" s="148" t="n"/>
      <c r="D5" s="148" t="n"/>
      <c r="E5" s="148" t="n"/>
      <c r="F5" s="148" t="n"/>
      <c r="G5" s="139" t="n"/>
      <c r="H5" s="139" t="n"/>
      <c r="I5" s="87">
        <f>IFERROR(INDEX(SessionDB!$H$2:$H$64,MATCH(1,(SessionDB!$B$2:$B$64=1)*(SessionDB!$C$2:$C$64=$A5)*((SessionDB!$I$2:$I$64=$E$3)+(SessionDB!$I$2:$I$64="all")),0)),IFERROR(INDEX(SessionDB!$H$2:$H$64,MATCH(1,(SessionDB!$B$2:$B$64=1)*(SessionDB!$C$2:$C$64&lt;$A5)*(SessionDB!$D$2:$D$64&gt;$A5)*((SessionDB!$I$2:$I$64=$E$3)+(SessionDB!$I$2:$I$64="all")),0)),""))</f>
        <v/>
      </c>
    </row>
    <row r="6" ht="33.75" customHeight="1" s="88">
      <c r="A6" s="147" t="inlineStr">
        <is>
          <t>09:00</t>
        </is>
      </c>
      <c r="B6" s="150" t="inlineStr">
        <is>
          <t>Opening Keynote
Lead: Dr. Sarah Chen  •  Main Hall</t>
        </is>
      </c>
      <c r="C6" s="148" t="n"/>
      <c r="D6" s="148" t="n"/>
      <c r="E6" s="148" t="n"/>
      <c r="F6" s="148" t="n"/>
      <c r="G6" s="139" t="n"/>
      <c r="H6" s="139" t="n"/>
      <c r="I6" s="87">
        <f>IFERROR(INDEX(SessionDB!$H$2:$H$64,MATCH(1,(SessionDB!$B$2:$B$64=1)*(SessionDB!$C$2:$C$64=$A6)*((SessionDB!$I$2:$I$64=$E$3)+(SessionDB!$I$2:$I$64="all")),0)),IFERROR(INDEX(SessionDB!$H$2:$H$64,MATCH(1,(SessionDB!$B$2:$B$64=1)*(SessionDB!$C$2:$C$64&lt;$A6)*(SessionDB!$D$2:$D$64&gt;$A6)*((SessionDB!$I$2:$I$64=$E$3)+(SessionDB!$I$2:$I$64="all")),0)),""))</f>
        <v/>
      </c>
    </row>
    <row r="7" ht="33.75" customHeight="1" s="88">
      <c r="A7" s="149" t="inlineStr">
        <is>
          <t>09:30</t>
        </is>
      </c>
      <c r="B7" s="151" t="n"/>
      <c r="C7" s="148" t="n"/>
      <c r="D7" s="148" t="n"/>
      <c r="E7" s="148" t="n"/>
      <c r="F7" s="148" t="n"/>
      <c r="G7" s="139" t="n"/>
      <c r="H7" s="139" t="n"/>
      <c r="I7" s="87">
        <f>IFERROR(INDEX(SessionDB!$H$2:$H$64,MATCH(1,(SessionDB!$B$2:$B$64=1)*(SessionDB!$C$2:$C$64=$A7)*((SessionDB!$I$2:$I$64=$E$3)+(SessionDB!$I$2:$I$64="all")),0)),IFERROR(INDEX(SessionDB!$H$2:$H$64,MATCH(1,(SessionDB!$B$2:$B$64=1)*(SessionDB!$C$2:$C$64&lt;$A7)*(SessionDB!$D$2:$D$64&gt;$A7)*((SessionDB!$I$2:$I$64=$E$3)+(SessionDB!$I$2:$I$64="all")),0)),""))</f>
        <v/>
      </c>
    </row>
    <row r="8" ht="33.75" customHeight="1" s="88">
      <c r="A8" s="147" t="inlineStr">
        <is>
          <t>10:00</t>
        </is>
      </c>
      <c r="B8" s="148" t="n"/>
      <c r="C8" s="148" t="n"/>
      <c r="D8" s="148" t="n"/>
      <c r="E8" s="148" t="n"/>
      <c r="F8" s="148" t="n"/>
      <c r="G8" s="139" t="n"/>
      <c r="H8" s="139" t="n"/>
      <c r="I8" s="87">
        <f>IFERROR(INDEX(SessionDB!$H$2:$H$64,MATCH(1,(SessionDB!$B$2:$B$64=1)*(SessionDB!$C$2:$C$64=$A8)*((SessionDB!$I$2:$I$64=$E$3)+(SessionDB!$I$2:$I$64="all")),0)),IFERROR(INDEX(SessionDB!$H$2:$H$64,MATCH(1,(SessionDB!$B$2:$B$64=1)*(SessionDB!$C$2:$C$64&lt;$A8)*(SessionDB!$D$2:$D$64&gt;$A8)*((SessionDB!$I$2:$I$64=$E$3)+(SessionDB!$I$2:$I$64="all")),0)),""))</f>
        <v/>
      </c>
    </row>
    <row r="9" ht="33.75" customHeight="1" s="88">
      <c r="A9" s="149" t="inlineStr">
        <is>
          <t>10:30</t>
        </is>
      </c>
      <c r="B9" s="148" t="n"/>
      <c r="C9" s="152" t="inlineStr">
        <is>
          <t>Leading Through Change
Lead: Mark Torres  •  Room A1</t>
        </is>
      </c>
      <c r="D9" s="153" t="inlineStr">
        <is>
          <t>API Design Patterns
Lead: Priya Sharma  •  Room B1</t>
        </is>
      </c>
      <c r="E9" s="154" t="inlineStr">
        <is>
          <t>Empathy Mapping 101
Lead: Lena Müller  •  Room C1</t>
        </is>
      </c>
      <c r="F9" s="155" t="inlineStr">
        <is>
          <t>Lean Process Improvement
Lead: James Wright  •  Room D1</t>
        </is>
      </c>
      <c r="G9" s="139" t="n"/>
      <c r="H9" s="139" t="n"/>
      <c r="I9" s="87">
        <f>IFERROR(INDEX(SessionDB!$H$2:$H$64,MATCH(1,(SessionDB!$B$2:$B$64=1)*(SessionDB!$C$2:$C$64=$A9)*((SessionDB!$I$2:$I$64=$E$3)+(SessionDB!$I$2:$I$64="all")),0)),IFERROR(INDEX(SessionDB!$H$2:$H$64,MATCH(1,(SessionDB!$B$2:$B$64=1)*(SessionDB!$C$2:$C$64&lt;$A9)*(SessionDB!$D$2:$D$64&gt;$A9)*((SessionDB!$I$2:$I$64=$E$3)+(SessionDB!$I$2:$I$64="all")),0)),""))</f>
        <v/>
      </c>
    </row>
    <row r="10" ht="33.75" customHeight="1" s="88">
      <c r="A10" s="147" t="inlineStr">
        <is>
          <t>11:00</t>
        </is>
      </c>
      <c r="B10" s="148" t="n"/>
      <c r="C10" s="156" t="n"/>
      <c r="D10" s="157" t="n"/>
      <c r="E10" s="158" t="n"/>
      <c r="F10" s="159" t="n"/>
      <c r="G10" s="139" t="n"/>
      <c r="H10" s="139" t="n"/>
      <c r="I10" s="87">
        <f>IFERROR(INDEX(SessionDB!$H$2:$H$64,MATCH(1,(SessionDB!$B$2:$B$64=1)*(SessionDB!$C$2:$C$64=$A10)*((SessionDB!$I$2:$I$64=$E$3)+(SessionDB!$I$2:$I$64="all")),0)),IFERROR(INDEX(SessionDB!$H$2:$H$64,MATCH(1,(SessionDB!$B$2:$B$64=1)*(SessionDB!$C$2:$C$64&lt;$A10)*(SessionDB!$D$2:$D$64&gt;$A10)*((SessionDB!$I$2:$I$64=$E$3)+(SessionDB!$I$2:$I$64="all")),0)),""))</f>
        <v/>
      </c>
    </row>
    <row r="11" ht="33.75" customHeight="1" s="88">
      <c r="A11" s="149" t="inlineStr">
        <is>
          <t>11:30</t>
        </is>
      </c>
      <c r="B11" s="148" t="n"/>
      <c r="C11" s="160" t="n"/>
      <c r="D11" s="161" t="n"/>
      <c r="E11" s="162" t="n"/>
      <c r="F11" s="163" t="n"/>
      <c r="G11" s="139" t="n"/>
      <c r="H11" s="139" t="n"/>
      <c r="I11" s="87">
        <f>IFERROR(INDEX(SessionDB!$H$2:$H$64,MATCH(1,(SessionDB!$B$2:$B$64=1)*(SessionDB!$C$2:$C$64=$A11)*((SessionDB!$I$2:$I$64=$E$3)+(SessionDB!$I$2:$I$64="all")),0)),IFERROR(INDEX(SessionDB!$H$2:$H$64,MATCH(1,(SessionDB!$B$2:$B$64=1)*(SessionDB!$C$2:$C$64&lt;$A11)*(SessionDB!$D$2:$D$64&gt;$A11)*((SessionDB!$I$2:$I$64=$E$3)+(SessionDB!$I$2:$I$64="all")),0)),""))</f>
        <v/>
      </c>
    </row>
    <row r="12" ht="33.75" customHeight="1" s="88">
      <c r="A12" s="147" t="inlineStr">
        <is>
          <t>12:00</t>
        </is>
      </c>
      <c r="B12" s="164" t="inlineStr">
        <is>
          <t>Lunch &amp; Networking</t>
        </is>
      </c>
      <c r="C12" s="148" t="n"/>
      <c r="D12" s="148" t="n"/>
      <c r="E12" s="148" t="n"/>
      <c r="F12" s="148" t="n"/>
      <c r="G12" s="139" t="n"/>
      <c r="H12" s="139" t="n"/>
      <c r="I12" s="87">
        <f>IFERROR(INDEX(SessionDB!$H$2:$H$64,MATCH(1,(SessionDB!$B$2:$B$64=1)*(SessionDB!$C$2:$C$64=$A12)*((SessionDB!$I$2:$I$64=$E$3)+(SessionDB!$I$2:$I$64="all")),0)),IFERROR(INDEX(SessionDB!$H$2:$H$64,MATCH(1,(SessionDB!$B$2:$B$64=1)*(SessionDB!$C$2:$C$64&lt;$A12)*(SessionDB!$D$2:$D$64&gt;$A12)*((SessionDB!$I$2:$I$64=$E$3)+(SessionDB!$I$2:$I$64="all")),0)),""))</f>
        <v/>
      </c>
    </row>
    <row r="13" ht="33.75" customHeight="1" s="88">
      <c r="A13" s="149" t="inlineStr">
        <is>
          <t>12:30</t>
        </is>
      </c>
      <c r="B13" s="165" t="n"/>
      <c r="C13" s="148" t="n"/>
      <c r="D13" s="148" t="n"/>
      <c r="E13" s="148" t="n"/>
      <c r="F13" s="148" t="n"/>
      <c r="G13" s="139" t="n"/>
      <c r="H13" s="139" t="n"/>
      <c r="I13" s="87">
        <f>IFERROR(INDEX(SessionDB!$H$2:$H$64,MATCH(1,(SessionDB!$B$2:$B$64=1)*(SessionDB!$C$2:$C$64=$A13)*((SessionDB!$I$2:$I$64=$E$3)+(SessionDB!$I$2:$I$64="all")),0)),IFERROR(INDEX(SessionDB!$H$2:$H$64,MATCH(1,(SessionDB!$B$2:$B$64=1)*(SessionDB!$C$2:$C$64&lt;$A13)*(SessionDB!$D$2:$D$64&gt;$A13)*((SessionDB!$I$2:$I$64=$E$3)+(SessionDB!$I$2:$I$64="all")),0)),""))</f>
        <v/>
      </c>
    </row>
    <row r="14" ht="33.75" customHeight="1" s="88">
      <c r="A14" s="147" t="inlineStr">
        <is>
          <t>13:00</t>
        </is>
      </c>
      <c r="B14" s="148" t="n"/>
      <c r="C14" s="152" t="inlineStr">
        <is>
          <t>Stakeholder Alignment
Lead: Aisha Johnson  •  Room A1</t>
        </is>
      </c>
      <c r="D14" s="153" t="inlineStr">
        <is>
          <t>Cloud Infrastructure
Lead: David Kim  •  Room B1</t>
        </is>
      </c>
      <c r="E14" s="154" t="inlineStr">
        <is>
          <t>Prototyping Sprint
Lead: Carlos Ruiz  •  Room C1</t>
        </is>
      </c>
      <c r="F14" s="155" t="inlineStr">
        <is>
          <t>Risk Assessment
Lead: Nina Petrov  •  Room D1</t>
        </is>
      </c>
      <c r="G14" s="139" t="n"/>
      <c r="H14" s="139" t="n"/>
      <c r="I14" s="87">
        <f>IFERROR(INDEX(SessionDB!$H$2:$H$64,MATCH(1,(SessionDB!$B$2:$B$64=1)*(SessionDB!$C$2:$C$64=$A14)*((SessionDB!$I$2:$I$64=$E$3)+(SessionDB!$I$2:$I$64="all")),0)),IFERROR(INDEX(SessionDB!$H$2:$H$64,MATCH(1,(SessionDB!$B$2:$B$64=1)*(SessionDB!$C$2:$C$64&lt;$A14)*(SessionDB!$D$2:$D$64&gt;$A14)*((SessionDB!$I$2:$I$64=$E$3)+(SessionDB!$I$2:$I$64="all")),0)),""))</f>
        <v/>
      </c>
    </row>
    <row r="15" ht="33.75" customHeight="1" s="88">
      <c r="A15" s="149" t="inlineStr">
        <is>
          <t>13:30</t>
        </is>
      </c>
      <c r="B15" s="148" t="n"/>
      <c r="C15" s="156" t="n"/>
      <c r="D15" s="157" t="n"/>
      <c r="E15" s="158" t="n"/>
      <c r="F15" s="159" t="n"/>
      <c r="G15" s="139" t="n"/>
      <c r="H15" s="139" t="n"/>
      <c r="I15" s="87">
        <f>IFERROR(INDEX(SessionDB!$H$2:$H$64,MATCH(1,(SessionDB!$B$2:$B$64=1)*(SessionDB!$C$2:$C$64=$A15)*((SessionDB!$I$2:$I$64=$E$3)+(SessionDB!$I$2:$I$64="all")),0)),IFERROR(INDEX(SessionDB!$H$2:$H$64,MATCH(1,(SessionDB!$B$2:$B$64=1)*(SessionDB!$C$2:$C$64&lt;$A15)*(SessionDB!$D$2:$D$64&gt;$A15)*((SessionDB!$I$2:$I$64=$E$3)+(SessionDB!$I$2:$I$64="all")),0)),""))</f>
        <v/>
      </c>
    </row>
    <row r="16" ht="33.75" customHeight="1" s="88">
      <c r="A16" s="147" t="inlineStr">
        <is>
          <t>14:00</t>
        </is>
      </c>
      <c r="B16" s="148" t="n"/>
      <c r="C16" s="160" t="n"/>
      <c r="D16" s="161" t="n"/>
      <c r="E16" s="162" t="n"/>
      <c r="F16" s="163" t="n"/>
      <c r="G16" s="139" t="n"/>
      <c r="H16" s="139" t="n"/>
      <c r="I16" s="87">
        <f>IFERROR(INDEX(SessionDB!$H$2:$H$64,MATCH(1,(SessionDB!$B$2:$B$64=1)*(SessionDB!$C$2:$C$64=$A16)*((SessionDB!$I$2:$I$64=$E$3)+(SessionDB!$I$2:$I$64="all")),0)),IFERROR(INDEX(SessionDB!$H$2:$H$64,MATCH(1,(SessionDB!$B$2:$B$64=1)*(SessionDB!$C$2:$C$64&lt;$A16)*(SessionDB!$D$2:$D$64&gt;$A16)*((SessionDB!$I$2:$I$64=$E$3)+(SessionDB!$I$2:$I$64="all")),0)),""))</f>
        <v/>
      </c>
    </row>
    <row r="17" ht="33.75" customHeight="1" s="88">
      <c r="A17" s="149" t="inlineStr">
        <is>
          <t>14:30</t>
        </is>
      </c>
      <c r="B17" s="166" t="inlineStr">
        <is>
          <t>Afternoon Break</t>
        </is>
      </c>
      <c r="C17" s="148" t="n"/>
      <c r="D17" s="148" t="n"/>
      <c r="E17" s="148" t="n"/>
      <c r="F17" s="148" t="n"/>
      <c r="G17" s="139" t="n"/>
      <c r="H17" s="139" t="n"/>
      <c r="I17" s="87">
        <f>IFERROR(INDEX(SessionDB!$H$2:$H$64,MATCH(1,(SessionDB!$B$2:$B$64=1)*(SessionDB!$C$2:$C$64=$A17)*((SessionDB!$I$2:$I$64=$E$3)+(SessionDB!$I$2:$I$64="all")),0)),IFERROR(INDEX(SessionDB!$H$2:$H$64,MATCH(1,(SessionDB!$B$2:$B$64=1)*(SessionDB!$C$2:$C$64&lt;$A17)*(SessionDB!$D$2:$D$64&gt;$A17)*((SessionDB!$I$2:$I$64=$E$3)+(SessionDB!$I$2:$I$64="all")),0)),""))</f>
        <v/>
      </c>
    </row>
    <row r="18" ht="33.75" customHeight="1" s="88">
      <c r="A18" s="147" t="inlineStr">
        <is>
          <t>15:00</t>
        </is>
      </c>
      <c r="B18" s="148" t="n"/>
      <c r="C18" s="152" t="inlineStr">
        <is>
          <t>Feedback Culture
Lead: Tom Bradley  •  Room A1</t>
        </is>
      </c>
      <c r="D18" s="153" t="inlineStr">
        <is>
          <t>Data Pipeline Design
Lead: Wei Zhang  •  Room B1</t>
        </is>
      </c>
      <c r="E18" s="154" t="inlineStr">
        <is>
          <t>Service Blueprinting
Lead: Lena Müller  •  Room C1</t>
        </is>
      </c>
      <c r="F18" s="155" t="inlineStr">
        <is>
          <t>Agile Ceremonies
Lead: Rachel Green  •  Room D1</t>
        </is>
      </c>
      <c r="G18" s="139" t="n"/>
      <c r="H18" s="139" t="n"/>
      <c r="I18" s="87">
        <f>IFERROR(INDEX(SessionDB!$H$2:$H$64,MATCH(1,(SessionDB!$B$2:$B$64=1)*(SessionDB!$C$2:$C$64=$A18)*((SessionDB!$I$2:$I$64=$E$3)+(SessionDB!$I$2:$I$64="all")),0)),IFERROR(INDEX(SessionDB!$H$2:$H$64,MATCH(1,(SessionDB!$B$2:$B$64=1)*(SessionDB!$C$2:$C$64&lt;$A18)*(SessionDB!$D$2:$D$64&gt;$A18)*((SessionDB!$I$2:$I$64=$E$3)+(SessionDB!$I$2:$I$64="all")),0)),""))</f>
        <v/>
      </c>
    </row>
    <row r="19" ht="33.75" customHeight="1" s="88">
      <c r="A19" s="149" t="inlineStr">
        <is>
          <t>15:30</t>
        </is>
      </c>
      <c r="B19" s="148" t="n"/>
      <c r="C19" s="156" t="n"/>
      <c r="D19" s="157" t="n"/>
      <c r="E19" s="158" t="n"/>
      <c r="F19" s="159" t="n"/>
      <c r="G19" s="139" t="n"/>
      <c r="H19" s="139" t="n"/>
      <c r="I19" s="87">
        <f>IFERROR(INDEX(SessionDB!$H$2:$H$64,MATCH(1,(SessionDB!$B$2:$B$64=1)*(SessionDB!$C$2:$C$64=$A19)*((SessionDB!$I$2:$I$64=$E$3)+(SessionDB!$I$2:$I$64="all")),0)),IFERROR(INDEX(SessionDB!$H$2:$H$64,MATCH(1,(SessionDB!$B$2:$B$64=1)*(SessionDB!$C$2:$C$64&lt;$A19)*(SessionDB!$D$2:$D$64&gt;$A19)*((SessionDB!$I$2:$I$64=$E$3)+(SessionDB!$I$2:$I$64="all")),0)),""))</f>
        <v/>
      </c>
    </row>
    <row r="20" ht="33.75" customHeight="1" s="88">
      <c r="A20" s="147" t="inlineStr">
        <is>
          <t>16:00</t>
        </is>
      </c>
      <c r="B20" s="148" t="n"/>
      <c r="C20" s="160" t="n"/>
      <c r="D20" s="161" t="n"/>
      <c r="E20" s="162" t="n"/>
      <c r="F20" s="163" t="n"/>
      <c r="G20" s="139" t="n"/>
      <c r="H20" s="139" t="n"/>
      <c r="I20" s="87">
        <f>IFERROR(INDEX(SessionDB!$H$2:$H$64,MATCH(1,(SessionDB!$B$2:$B$64=1)*(SessionDB!$C$2:$C$64=$A20)*((SessionDB!$I$2:$I$64=$E$3)+(SessionDB!$I$2:$I$64="all")),0)),IFERROR(INDEX(SessionDB!$H$2:$H$64,MATCH(1,(SessionDB!$B$2:$B$64=1)*(SessionDB!$C$2:$C$64&lt;$A20)*(SessionDB!$D$2:$D$64&gt;$A20)*((SessionDB!$I$2:$I$64=$E$3)+(SessionDB!$I$2:$I$64="all")),0)),""))</f>
        <v/>
      </c>
    </row>
    <row r="21" ht="33.75" customHeight="1" s="88">
      <c r="A21" s="149" t="inlineStr">
        <is>
          <t>16:30</t>
        </is>
      </c>
      <c r="B21" s="148" t="n"/>
      <c r="C21" s="148" t="n"/>
      <c r="D21" s="148" t="n"/>
      <c r="E21" s="148" t="n"/>
      <c r="F21" s="148" t="n"/>
      <c r="G21" s="139" t="n"/>
      <c r="H21" s="139" t="n"/>
      <c r="I21" s="87">
        <f>IFERROR(INDEX(SessionDB!$H$2:$H$64,MATCH(1,(SessionDB!$B$2:$B$64=1)*(SessionDB!$C$2:$C$64=$A21)*((SessionDB!$I$2:$I$64=$E$3)+(SessionDB!$I$2:$I$64="all")),0)),IFERROR(INDEX(SessionDB!$H$2:$H$64,MATCH(1,(SessionDB!$B$2:$B$64=1)*(SessionDB!$C$2:$C$64&lt;$A21)*(SessionDB!$D$2:$D$64&gt;$A21)*((SessionDB!$I$2:$I$64=$E$3)+(SessionDB!$I$2:$I$64="all")),0)),""))</f>
        <v/>
      </c>
    </row>
    <row r="22" ht="33.75" customHeight="1" s="88">
      <c r="A22" s="147" t="inlineStr">
        <is>
          <t>17:00</t>
        </is>
      </c>
      <c r="B22" s="148" t="n"/>
      <c r="C22" s="148" t="n"/>
      <c r="D22" s="148" t="n"/>
      <c r="E22" s="148" t="n"/>
      <c r="F22" s="148" t="n"/>
      <c r="G22" s="139" t="n"/>
      <c r="H22" s="139" t="n"/>
      <c r="I22" s="87">
        <f>IFERROR(INDEX(SessionDB!$H$2:$H$64,MATCH(1,(SessionDB!$B$2:$B$64=1)*(SessionDB!$C$2:$C$64=$A22)*((SessionDB!$I$2:$I$64=$E$3)+(SessionDB!$I$2:$I$64="all")),0)),IFERROR(INDEX(SessionDB!$H$2:$H$64,MATCH(1,(SessionDB!$B$2:$B$64=1)*(SessionDB!$C$2:$C$64&lt;$A22)*(SessionDB!$D$2:$D$64&gt;$A22)*((SessionDB!$I$2:$I$64=$E$3)+(SessionDB!$I$2:$I$64="all")),0)),""))</f>
        <v/>
      </c>
    </row>
    <row r="23" ht="33.75" customHeight="1" s="88">
      <c r="A23" s="149" t="inlineStr">
        <is>
          <t>17:30</t>
        </is>
      </c>
      <c r="B23" s="148" t="n"/>
      <c r="C23" s="148" t="n"/>
      <c r="D23" s="148" t="n"/>
      <c r="E23" s="148" t="n"/>
      <c r="F23" s="148" t="n"/>
      <c r="G23" s="139" t="n"/>
      <c r="H23" s="139" t="n"/>
      <c r="I23" s="87">
        <f>IFERROR(INDEX(SessionDB!$H$2:$H$64,MATCH(1,(SessionDB!$B$2:$B$64=1)*(SessionDB!$C$2:$C$64=$A23)*((SessionDB!$I$2:$I$64=$E$3)+(SessionDB!$I$2:$I$64="all")),0)),IFERROR(INDEX(SessionDB!$H$2:$H$64,MATCH(1,(SessionDB!$B$2:$B$64=1)*(SessionDB!$C$2:$C$64&lt;$A23)*(SessionDB!$D$2:$D$64&gt;$A23)*((SessionDB!$I$2:$I$64=$E$3)+(SessionDB!$I$2:$I$64="all")),0)),""))</f>
        <v/>
      </c>
    </row>
    <row r="24" ht="15" customHeight="1" s="88">
      <c r="A24" s="139" t="n"/>
      <c r="B24" s="139" t="n"/>
      <c r="C24" s="139" t="n"/>
      <c r="D24" s="139" t="n"/>
      <c r="E24" s="139" t="n"/>
      <c r="F24" s="139" t="n"/>
      <c r="G24" s="139" t="n"/>
      <c r="H24" s="139" t="n"/>
    </row>
    <row r="25" ht="36" customHeight="1" s="88">
      <c r="A25" s="167" t="inlineStr">
        <is>
          <t>Tracks: Overall, Leadership, Technical, Design Thinking, Operations  |  Generated: 08 Mar 2026 13:00</t>
        </is>
      </c>
      <c r="G25" s="139" t="n"/>
      <c r="H25" s="139" t="n"/>
    </row>
  </sheetData>
  <mergeCells count="17">
    <mergeCell ref="A2:F2"/>
    <mergeCell ref="F9:F11"/>
    <mergeCell ref="F14:F16"/>
    <mergeCell ref="F18:F20"/>
    <mergeCell ref="B12:B13"/>
    <mergeCell ref="D9:D11"/>
    <mergeCell ref="A1:F1"/>
    <mergeCell ref="E18:E20"/>
    <mergeCell ref="C14:C16"/>
    <mergeCell ref="E14:E16"/>
    <mergeCell ref="C9:C11"/>
    <mergeCell ref="D14:D16"/>
    <mergeCell ref="A25:F25"/>
    <mergeCell ref="B6:B7"/>
    <mergeCell ref="D18:D20"/>
    <mergeCell ref="C18:C20"/>
    <mergeCell ref="E9:E11"/>
  </mergeCells>
  <conditionalFormatting sqref="B4:B23">
    <cfRule type="expression" rank="0" priority="2" equalAverage="0" aboveAverage="0" dxfId="22" text="" percent="0" bottom="0">
      <formula>F4="Leadership"</formula>
    </cfRule>
    <cfRule type="expression" rank="0" priority="3" equalAverage="0" aboveAverage="0" dxfId="23" text="" percent="0" bottom="0">
      <formula>F4="Technical"</formula>
    </cfRule>
    <cfRule type="expression" rank="0" priority="4" equalAverage="0" aboveAverage="0" dxfId="24" text="" percent="0" bottom="0">
      <formula>F4="Design Thinking"</formula>
    </cfRule>
    <cfRule type="expression" rank="0" priority="5" equalAverage="0" aboveAverage="0" dxfId="25" text="" percent="0" bottom="0">
      <formula>F4="Operations"</formula>
    </cfRule>
    <cfRule type="expression" rank="0" priority="6" equalAverage="0" aboveAverage="0" dxfId="26" text="" percent="0" bottom="0">
      <formula>F4="Keynote"</formula>
    </cfRule>
    <cfRule type="expression" rank="0" priority="7" equalAverage="0" aboveAverage="0" dxfId="27" text="" percent="0" bottom="0">
      <formula>F4="Break"</formula>
    </cfRule>
  </conditionalFormatting>
  <conditionalFormatting sqref="C4:C23">
    <cfRule type="expression" rank="0" priority="8" equalAverage="0" aboveAverage="0" dxfId="22" text="" percent="0" bottom="0">
      <formula>G4="Leadership"</formula>
    </cfRule>
    <cfRule type="expression" rank="0" priority="9" equalAverage="0" aboveAverage="0" dxfId="23" text="" percent="0" bottom="0">
      <formula>G4="Technical"</formula>
    </cfRule>
    <cfRule type="expression" rank="0" priority="10" equalAverage="0" aboveAverage="0" dxfId="24" text="" percent="0" bottom="0">
      <formula>G4="Design Thinking"</formula>
    </cfRule>
    <cfRule type="expression" rank="0" priority="11" equalAverage="0" aboveAverage="0" dxfId="25" text="" percent="0" bottom="0">
      <formula>G4="Operations"</formula>
    </cfRule>
    <cfRule type="expression" rank="0" priority="12" equalAverage="0" aboveAverage="0" dxfId="26" text="" percent="0" bottom="0">
      <formula>G4="Keynote"</formula>
    </cfRule>
    <cfRule type="expression" rank="0" priority="13" equalAverage="0" aboveAverage="0" dxfId="27" text="" percent="0" bottom="0">
      <formula>G4="Break"</formula>
    </cfRule>
  </conditionalFormatting>
  <conditionalFormatting sqref="D4:D23">
    <cfRule type="expression" rank="0" priority="14" equalAverage="0" aboveAverage="0" dxfId="22" text="" percent="0" bottom="0">
      <formula>H4="Leadership"</formula>
    </cfRule>
    <cfRule type="expression" rank="0" priority="15" equalAverage="0" aboveAverage="0" dxfId="23" text="" percent="0" bottom="0">
      <formula>H4="Technical"</formula>
    </cfRule>
    <cfRule type="expression" rank="0" priority="16" equalAverage="0" aboveAverage="0" dxfId="24" text="" percent="0" bottom="0">
      <formula>H4="Design Thinking"</formula>
    </cfRule>
    <cfRule type="expression" rank="0" priority="17" equalAverage="0" aboveAverage="0" dxfId="25" text="" percent="0" bottom="0">
      <formula>H4="Operations"</formula>
    </cfRule>
    <cfRule type="expression" rank="0" priority="18" equalAverage="0" aboveAverage="0" dxfId="26" text="" percent="0" bottom="0">
      <formula>H4="Keynote"</formula>
    </cfRule>
    <cfRule type="expression" rank="0" priority="19" equalAverage="0" aboveAverage="0" dxfId="27" text="" percent="0" bottom="0">
      <formula>H4="Break"</formula>
    </cfRule>
  </conditionalFormatting>
  <conditionalFormatting sqref="E4:E23">
    <cfRule type="expression" rank="0" priority="20" equalAverage="0" aboveAverage="0" dxfId="22" text="" percent="0" bottom="0">
      <formula>I4="Leadership"</formula>
    </cfRule>
    <cfRule type="expression" rank="0" priority="21" equalAverage="0" aboveAverage="0" dxfId="23" text="" percent="0" bottom="0">
      <formula>I4="Technical"</formula>
    </cfRule>
    <cfRule type="expression" rank="0" priority="22" equalAverage="0" aboveAverage="0" dxfId="24" text="" percent="0" bottom="0">
      <formula>I4="Design Thinking"</formula>
    </cfRule>
    <cfRule type="expression" rank="0" priority="23" equalAverage="0" aboveAverage="0" dxfId="25" text="" percent="0" bottom="0">
      <formula>I4="Operations"</formula>
    </cfRule>
    <cfRule type="expression" rank="0" priority="24" equalAverage="0" aboveAverage="0" dxfId="26" text="" percent="0" bottom="0">
      <formula>I4="Keynote"</formula>
    </cfRule>
    <cfRule type="expression" rank="0" priority="25" equalAverage="0" aboveAverage="0" dxfId="27" text="" percent="0" bottom="0">
      <formula>I4="Break"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7C3AED"/>
    <outlinePr summaryBelow="1" summaryRight="1"/>
    <pageSetUpPr fitToPage="1"/>
  </sheetPr>
  <dimension ref="A1:I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87" min="1" max="1"/>
    <col width="28" customWidth="1" style="87" min="2" max="5"/>
    <col hidden="1" width="2" customWidth="1" style="87" min="6" max="9"/>
  </cols>
  <sheetData>
    <row r="1" ht="42" customHeight="1" s="88">
      <c r="A1" s="108" t="inlineStr">
        <is>
          <t>DAY 2: Tue Mar 10</t>
        </is>
      </c>
      <c r="G1" s="139" t="n"/>
      <c r="H1" s="139" t="n"/>
    </row>
    <row r="2" ht="24" customHeight="1" s="88">
      <c r="A2" s="140" t="inlineStr">
        <is>
          <t>REFRESHED: 08 Mar 2026 13:00  |  4 tracks + Overall  |  Workshop 2026</t>
        </is>
      </c>
      <c r="G2" s="139" t="n"/>
      <c r="H2" s="139" t="n"/>
    </row>
    <row r="3" ht="31.5" customHeight="1" s="88">
      <c r="A3" s="141" t="inlineStr">
        <is>
          <t>TIME</t>
        </is>
      </c>
      <c r="B3" s="142" t="inlineStr">
        <is>
          <t>OVERALL</t>
        </is>
      </c>
      <c r="C3" s="143" t="inlineStr">
        <is>
          <t>LEADERSHIP</t>
        </is>
      </c>
      <c r="D3" s="144" t="inlineStr">
        <is>
          <t>TECHNICAL</t>
        </is>
      </c>
      <c r="E3" s="145" t="inlineStr">
        <is>
          <t>DESIGN THINKING</t>
        </is>
      </c>
      <c r="F3" s="146" t="inlineStr">
        <is>
          <t>OPERATIONS</t>
        </is>
      </c>
      <c r="G3" s="139" t="n"/>
      <c r="H3" s="139" t="n"/>
    </row>
    <row r="4" ht="33.75" customHeight="1" s="88">
      <c r="A4" s="147" t="inlineStr">
        <is>
          <t>08:00</t>
        </is>
      </c>
      <c r="B4" s="148" t="n"/>
      <c r="C4" s="148" t="n"/>
      <c r="D4" s="148" t="n"/>
      <c r="E4" s="148" t="n"/>
      <c r="F4" s="148" t="n"/>
      <c r="G4" s="139" t="n"/>
      <c r="H4" s="139" t="n"/>
      <c r="I4" s="87">
        <f>IFERROR(INDEX(SessionDB!$H$2:$H$64,MATCH(1,(SessionDB!$B$2:$B$64=2)*(SessionDB!$C$2:$C$64=$A4)*((SessionDB!$I$2:$I$64=$E$3)+(SessionDB!$I$2:$I$64="all")),0)),IFERROR(INDEX(SessionDB!$H$2:$H$64,MATCH(1,(SessionDB!$B$2:$B$64=2)*(SessionDB!$C$2:$C$64&lt;$A4)*(SessionDB!$D$2:$D$64&gt;$A4)*((SessionDB!$I$2:$I$64=$E$3)+(SessionDB!$I$2:$I$64="all")),0)),""))</f>
        <v/>
      </c>
    </row>
    <row r="5" ht="33.75" customHeight="1" s="88">
      <c r="A5" s="149" t="inlineStr">
        <is>
          <t>08:30</t>
        </is>
      </c>
      <c r="B5" s="148" t="n"/>
      <c r="C5" s="148" t="n"/>
      <c r="D5" s="148" t="n"/>
      <c r="E5" s="148" t="n"/>
      <c r="F5" s="148" t="n"/>
      <c r="G5" s="139" t="n"/>
      <c r="H5" s="139" t="n"/>
      <c r="I5" s="87">
        <f>IFERROR(INDEX(SessionDB!$H$2:$H$64,MATCH(1,(SessionDB!$B$2:$B$64=2)*(SessionDB!$C$2:$C$64=$A5)*((SessionDB!$I$2:$I$64=$E$3)+(SessionDB!$I$2:$I$64="all")),0)),IFERROR(INDEX(SessionDB!$H$2:$H$64,MATCH(1,(SessionDB!$B$2:$B$64=2)*(SessionDB!$C$2:$C$64&lt;$A5)*(SessionDB!$D$2:$D$64&gt;$A5)*((SessionDB!$I$2:$I$64=$E$3)+(SessionDB!$I$2:$I$64="all")),0)),""))</f>
        <v/>
      </c>
    </row>
    <row r="6" ht="33.75" customHeight="1" s="88">
      <c r="A6" s="147" t="inlineStr">
        <is>
          <t>09:00</t>
        </is>
      </c>
      <c r="B6" s="148" t="n"/>
      <c r="C6" s="152" t="inlineStr">
        <is>
          <t>Emotional Intelligence
Lead: Aisha Johnson  •  Room A1</t>
        </is>
      </c>
      <c r="D6" s="153" t="inlineStr">
        <is>
          <t>Security Fundamentals
Lead: Alex Novak  •  Room B1</t>
        </is>
      </c>
      <c r="E6" s="154" t="inlineStr">
        <is>
          <t>Design Systems
Lead: Yuki Tanaka  •  Room C1</t>
        </is>
      </c>
      <c r="F6" s="155" t="inlineStr">
        <is>
          <t>Capacity Planning
Lead: James Wright  •  Room D1</t>
        </is>
      </c>
      <c r="G6" s="139" t="n"/>
      <c r="H6" s="139" t="n"/>
      <c r="I6" s="87">
        <f>IFERROR(INDEX(SessionDB!$H$2:$H$64,MATCH(1,(SessionDB!$B$2:$B$64=2)*(SessionDB!$C$2:$C$64=$A6)*((SessionDB!$I$2:$I$64=$E$3)+(SessionDB!$I$2:$I$64="all")),0)),IFERROR(INDEX(SessionDB!$H$2:$H$64,MATCH(1,(SessionDB!$B$2:$B$64=2)*(SessionDB!$C$2:$C$64&lt;$A6)*(SessionDB!$D$2:$D$64&gt;$A6)*((SessionDB!$I$2:$I$64=$E$3)+(SessionDB!$I$2:$I$64="all")),0)),""))</f>
        <v/>
      </c>
    </row>
    <row r="7" ht="33.75" customHeight="1" s="88">
      <c r="A7" s="149" t="inlineStr">
        <is>
          <t>09:30</t>
        </is>
      </c>
      <c r="B7" s="148" t="n"/>
      <c r="C7" s="156" t="n"/>
      <c r="D7" s="157" t="n"/>
      <c r="E7" s="158" t="n"/>
      <c r="F7" s="159" t="n"/>
      <c r="G7" s="139" t="n"/>
      <c r="H7" s="139" t="n"/>
      <c r="I7" s="87">
        <f>IFERROR(INDEX(SessionDB!$H$2:$H$64,MATCH(1,(SessionDB!$B$2:$B$64=2)*(SessionDB!$C$2:$C$64=$A7)*((SessionDB!$I$2:$I$64=$E$3)+(SessionDB!$I$2:$I$64="all")),0)),IFERROR(INDEX(SessionDB!$H$2:$H$64,MATCH(1,(SessionDB!$B$2:$B$64=2)*(SessionDB!$C$2:$C$64&lt;$A7)*(SessionDB!$D$2:$D$64&gt;$A7)*((SessionDB!$I$2:$I$64=$E$3)+(SessionDB!$I$2:$I$64="all")),0)),""))</f>
        <v/>
      </c>
    </row>
    <row r="8" ht="33.75" customHeight="1" s="88">
      <c r="A8" s="147" t="inlineStr">
        <is>
          <t>10:00</t>
        </is>
      </c>
      <c r="B8" s="148" t="n"/>
      <c r="C8" s="160" t="n"/>
      <c r="D8" s="161" t="n"/>
      <c r="E8" s="162" t="n"/>
      <c r="F8" s="163" t="n"/>
      <c r="G8" s="139" t="n"/>
      <c r="H8" s="139" t="n"/>
      <c r="I8" s="87">
        <f>IFERROR(INDEX(SessionDB!$H$2:$H$64,MATCH(1,(SessionDB!$B$2:$B$64=2)*(SessionDB!$C$2:$C$64=$A8)*((SessionDB!$I$2:$I$64=$E$3)+(SessionDB!$I$2:$I$64="all")),0)),IFERROR(INDEX(SessionDB!$H$2:$H$64,MATCH(1,(SessionDB!$B$2:$B$64=2)*(SessionDB!$C$2:$C$64&lt;$A8)*(SessionDB!$D$2:$D$64&gt;$A8)*((SessionDB!$I$2:$I$64=$E$3)+(SessionDB!$I$2:$I$64="all")),0)),""))</f>
        <v/>
      </c>
    </row>
    <row r="9" ht="33.75" customHeight="1" s="88">
      <c r="A9" s="149" t="inlineStr">
        <is>
          <t>10:30</t>
        </is>
      </c>
      <c r="B9" s="166" t="inlineStr">
        <is>
          <t>Morning Break</t>
        </is>
      </c>
      <c r="C9" s="148" t="n"/>
      <c r="D9" s="148" t="n"/>
      <c r="E9" s="148" t="n"/>
      <c r="F9" s="148" t="n"/>
      <c r="G9" s="139" t="n"/>
      <c r="H9" s="139" t="n"/>
      <c r="I9" s="87">
        <f>IFERROR(INDEX(SessionDB!$H$2:$H$64,MATCH(1,(SessionDB!$B$2:$B$64=2)*(SessionDB!$C$2:$C$64=$A9)*((SessionDB!$I$2:$I$64=$E$3)+(SessionDB!$I$2:$I$64="all")),0)),IFERROR(INDEX(SessionDB!$H$2:$H$64,MATCH(1,(SessionDB!$B$2:$B$64=2)*(SessionDB!$C$2:$C$64&lt;$A9)*(SessionDB!$D$2:$D$64&gt;$A9)*((SessionDB!$I$2:$I$64=$E$3)+(SessionDB!$I$2:$I$64="all")),0)),""))</f>
        <v/>
      </c>
    </row>
    <row r="10" ht="33.75" customHeight="1" s="88">
      <c r="A10" s="147" t="inlineStr">
        <is>
          <t>11:00</t>
        </is>
      </c>
      <c r="B10" s="150" t="inlineStr">
        <is>
          <t>Panel: Future of Work
Lead: Multiple Speakers  •  Main Hall</t>
        </is>
      </c>
      <c r="C10" s="148" t="n"/>
      <c r="D10" s="148" t="n"/>
      <c r="E10" s="148" t="n"/>
      <c r="F10" s="148" t="n"/>
      <c r="G10" s="139" t="n"/>
      <c r="H10" s="139" t="n"/>
      <c r="I10" s="87">
        <f>IFERROR(INDEX(SessionDB!$H$2:$H$64,MATCH(1,(SessionDB!$B$2:$B$64=2)*(SessionDB!$C$2:$C$64=$A10)*((SessionDB!$I$2:$I$64=$E$3)+(SessionDB!$I$2:$I$64="all")),0)),IFERROR(INDEX(SessionDB!$H$2:$H$64,MATCH(1,(SessionDB!$B$2:$B$64=2)*(SessionDB!$C$2:$C$64&lt;$A10)*(SessionDB!$D$2:$D$64&gt;$A10)*((SessionDB!$I$2:$I$64=$E$3)+(SessionDB!$I$2:$I$64="all")),0)),""))</f>
        <v/>
      </c>
    </row>
    <row r="11" ht="33.75" customHeight="1" s="88">
      <c r="A11" s="149" t="inlineStr">
        <is>
          <t>11:30</t>
        </is>
      </c>
      <c r="B11" s="151" t="n"/>
      <c r="C11" s="148" t="n"/>
      <c r="D11" s="148" t="n"/>
      <c r="E11" s="148" t="n"/>
      <c r="F11" s="148" t="n"/>
      <c r="G11" s="139" t="n"/>
      <c r="H11" s="139" t="n"/>
      <c r="I11" s="87">
        <f>IFERROR(INDEX(SessionDB!$H$2:$H$64,MATCH(1,(SessionDB!$B$2:$B$64=2)*(SessionDB!$C$2:$C$64=$A11)*((SessionDB!$I$2:$I$64=$E$3)+(SessionDB!$I$2:$I$64="all")),0)),IFERROR(INDEX(SessionDB!$H$2:$H$64,MATCH(1,(SessionDB!$B$2:$B$64=2)*(SessionDB!$C$2:$C$64&lt;$A11)*(SessionDB!$D$2:$D$64&gt;$A11)*((SessionDB!$I$2:$I$64=$E$3)+(SessionDB!$I$2:$I$64="all")),0)),""))</f>
        <v/>
      </c>
    </row>
    <row r="12" ht="33.75" customHeight="1" s="88">
      <c r="A12" s="147" t="inlineStr">
        <is>
          <t>12:00</t>
        </is>
      </c>
      <c r="B12" s="164" t="inlineStr">
        <is>
          <t>Lunch &amp; Networking</t>
        </is>
      </c>
      <c r="C12" s="148" t="n"/>
      <c r="D12" s="148" t="n"/>
      <c r="E12" s="148" t="n"/>
      <c r="F12" s="148" t="n"/>
      <c r="G12" s="139" t="n"/>
      <c r="H12" s="139" t="n"/>
      <c r="I12" s="87">
        <f>IFERROR(INDEX(SessionDB!$H$2:$H$64,MATCH(1,(SessionDB!$B$2:$B$64=2)*(SessionDB!$C$2:$C$64=$A12)*((SessionDB!$I$2:$I$64=$E$3)+(SessionDB!$I$2:$I$64="all")),0)),IFERROR(INDEX(SessionDB!$H$2:$H$64,MATCH(1,(SessionDB!$B$2:$B$64=2)*(SessionDB!$C$2:$C$64&lt;$A12)*(SessionDB!$D$2:$D$64&gt;$A12)*((SessionDB!$I$2:$I$64=$E$3)+(SessionDB!$I$2:$I$64="all")),0)),""))</f>
        <v/>
      </c>
    </row>
    <row r="13" ht="33.75" customHeight="1" s="88">
      <c r="A13" s="149" t="inlineStr">
        <is>
          <t>12:30</t>
        </is>
      </c>
      <c r="B13" s="165" t="n"/>
      <c r="C13" s="148" t="n"/>
      <c r="D13" s="148" t="n"/>
      <c r="E13" s="148" t="n"/>
      <c r="F13" s="148" t="n"/>
      <c r="G13" s="139" t="n"/>
      <c r="H13" s="139" t="n"/>
      <c r="I13" s="87">
        <f>IFERROR(INDEX(SessionDB!$H$2:$H$64,MATCH(1,(SessionDB!$B$2:$B$64=2)*(SessionDB!$C$2:$C$64=$A13)*((SessionDB!$I$2:$I$64=$E$3)+(SessionDB!$I$2:$I$64="all")),0)),IFERROR(INDEX(SessionDB!$H$2:$H$64,MATCH(1,(SessionDB!$B$2:$B$64=2)*(SessionDB!$C$2:$C$64&lt;$A13)*(SessionDB!$D$2:$D$64&gt;$A13)*((SessionDB!$I$2:$I$64=$E$3)+(SessionDB!$I$2:$I$64="all")),0)),""))</f>
        <v/>
      </c>
    </row>
    <row r="14" ht="33.75" customHeight="1" s="88">
      <c r="A14" s="147" t="inlineStr">
        <is>
          <t>13:00</t>
        </is>
      </c>
      <c r="B14" s="148" t="n"/>
      <c r="C14" s="152" t="inlineStr">
        <is>
          <t>Conflict Resolution
Lead: Mark Torres  •  Room A1</t>
        </is>
      </c>
      <c r="D14" s="153" t="inlineStr">
        <is>
          <t>DevOps Practices
Lead: Priya Sharma  •  Room B1</t>
        </is>
      </c>
      <c r="E14" s="154" t="inlineStr">
        <is>
          <t>Accessibility Workshop
Lead: Carlos Ruiz  •  Room C1</t>
        </is>
      </c>
      <c r="F14" s="155" t="inlineStr">
        <is>
          <t>Vendor Management
Lead: Nina Petrov  •  Room D1</t>
        </is>
      </c>
      <c r="G14" s="139" t="n"/>
      <c r="H14" s="139" t="n"/>
      <c r="I14" s="87">
        <f>IFERROR(INDEX(SessionDB!$H$2:$H$64,MATCH(1,(SessionDB!$B$2:$B$64=2)*(SessionDB!$C$2:$C$64=$A14)*((SessionDB!$I$2:$I$64=$E$3)+(SessionDB!$I$2:$I$64="all")),0)),IFERROR(INDEX(SessionDB!$H$2:$H$64,MATCH(1,(SessionDB!$B$2:$B$64=2)*(SessionDB!$C$2:$C$64&lt;$A14)*(SessionDB!$D$2:$D$64&gt;$A14)*((SessionDB!$I$2:$I$64=$E$3)+(SessionDB!$I$2:$I$64="all")),0)),""))</f>
        <v/>
      </c>
    </row>
    <row r="15" ht="33.75" customHeight="1" s="88">
      <c r="A15" s="149" t="inlineStr">
        <is>
          <t>13:30</t>
        </is>
      </c>
      <c r="B15" s="148" t="n"/>
      <c r="C15" s="156" t="n"/>
      <c r="D15" s="157" t="n"/>
      <c r="E15" s="158" t="n"/>
      <c r="F15" s="159" t="n"/>
      <c r="G15" s="139" t="n"/>
      <c r="H15" s="139" t="n"/>
      <c r="I15" s="87">
        <f>IFERROR(INDEX(SessionDB!$H$2:$H$64,MATCH(1,(SessionDB!$B$2:$B$64=2)*(SessionDB!$C$2:$C$64=$A15)*((SessionDB!$I$2:$I$64=$E$3)+(SessionDB!$I$2:$I$64="all")),0)),IFERROR(INDEX(SessionDB!$H$2:$H$64,MATCH(1,(SessionDB!$B$2:$B$64=2)*(SessionDB!$C$2:$C$64&lt;$A15)*(SessionDB!$D$2:$D$64&gt;$A15)*((SessionDB!$I$2:$I$64=$E$3)+(SessionDB!$I$2:$I$64="all")),0)),""))</f>
        <v/>
      </c>
    </row>
    <row r="16" ht="33.75" customHeight="1" s="88">
      <c r="A16" s="147" t="inlineStr">
        <is>
          <t>14:00</t>
        </is>
      </c>
      <c r="B16" s="148" t="n"/>
      <c r="C16" s="160" t="n"/>
      <c r="D16" s="161" t="n"/>
      <c r="E16" s="162" t="n"/>
      <c r="F16" s="163" t="n"/>
      <c r="G16" s="139" t="n"/>
      <c r="H16" s="139" t="n"/>
      <c r="I16" s="87">
        <f>IFERROR(INDEX(SessionDB!$H$2:$H$64,MATCH(1,(SessionDB!$B$2:$B$64=2)*(SessionDB!$C$2:$C$64=$A16)*((SessionDB!$I$2:$I$64=$E$3)+(SessionDB!$I$2:$I$64="all")),0)),IFERROR(INDEX(SessionDB!$H$2:$H$64,MATCH(1,(SessionDB!$B$2:$B$64=2)*(SessionDB!$C$2:$C$64&lt;$A16)*(SessionDB!$D$2:$D$64&gt;$A16)*((SessionDB!$I$2:$I$64=$E$3)+(SessionDB!$I$2:$I$64="all")),0)),""))</f>
        <v/>
      </c>
    </row>
    <row r="17" ht="33.75" customHeight="1" s="88">
      <c r="A17" s="149" t="inlineStr">
        <is>
          <t>14:30</t>
        </is>
      </c>
      <c r="B17" s="166" t="inlineStr">
        <is>
          <t>Afternoon Break</t>
        </is>
      </c>
      <c r="C17" s="148" t="n"/>
      <c r="D17" s="148" t="n"/>
      <c r="E17" s="148" t="n"/>
      <c r="F17" s="148" t="n"/>
      <c r="G17" s="139" t="n"/>
      <c r="H17" s="139" t="n"/>
      <c r="I17" s="87">
        <f>IFERROR(INDEX(SessionDB!$H$2:$H$64,MATCH(1,(SessionDB!$B$2:$B$64=2)*(SessionDB!$C$2:$C$64=$A17)*((SessionDB!$I$2:$I$64=$E$3)+(SessionDB!$I$2:$I$64="all")),0)),IFERROR(INDEX(SessionDB!$H$2:$H$64,MATCH(1,(SessionDB!$B$2:$B$64=2)*(SessionDB!$C$2:$C$64&lt;$A17)*(SessionDB!$D$2:$D$64&gt;$A17)*((SessionDB!$I$2:$I$64=$E$3)+(SessionDB!$I$2:$I$64="all")),0)),""))</f>
        <v/>
      </c>
    </row>
    <row r="18" ht="33.75" customHeight="1" s="88">
      <c r="A18" s="147" t="inlineStr">
        <is>
          <t>15:00</t>
        </is>
      </c>
      <c r="B18" s="148" t="n"/>
      <c r="C18" s="152" t="inlineStr">
        <is>
          <t>Strategic Planning
Lead: Tom Bradley  •  Room A1</t>
        </is>
      </c>
      <c r="D18" s="153" t="inlineStr">
        <is>
          <t>Performance Testing
Lead: David Kim  •  Room B1</t>
        </is>
      </c>
      <c r="E18" s="154" t="inlineStr">
        <is>
          <t>User Research Methods
Lead: Yuki Tanaka  •  Room C1</t>
        </is>
      </c>
      <c r="F18" s="155" t="inlineStr">
        <is>
          <t>Budget Forecasting
Lead: Rachel Green  •  Room D1</t>
        </is>
      </c>
      <c r="G18" s="139" t="n"/>
      <c r="H18" s="139" t="n"/>
      <c r="I18" s="87">
        <f>IFERROR(INDEX(SessionDB!$H$2:$H$64,MATCH(1,(SessionDB!$B$2:$B$64=2)*(SessionDB!$C$2:$C$64=$A18)*((SessionDB!$I$2:$I$64=$E$3)+(SessionDB!$I$2:$I$64="all")),0)),IFERROR(INDEX(SessionDB!$H$2:$H$64,MATCH(1,(SessionDB!$B$2:$B$64=2)*(SessionDB!$C$2:$C$64&lt;$A18)*(SessionDB!$D$2:$D$64&gt;$A18)*((SessionDB!$I$2:$I$64=$E$3)+(SessionDB!$I$2:$I$64="all")),0)),""))</f>
        <v/>
      </c>
    </row>
    <row r="19" ht="33.75" customHeight="1" s="88">
      <c r="A19" s="149" t="inlineStr">
        <is>
          <t>15:30</t>
        </is>
      </c>
      <c r="B19" s="148" t="n"/>
      <c r="C19" s="156" t="n"/>
      <c r="D19" s="157" t="n"/>
      <c r="E19" s="158" t="n"/>
      <c r="F19" s="159" t="n"/>
      <c r="G19" s="139" t="n"/>
      <c r="H19" s="139" t="n"/>
      <c r="I19" s="87">
        <f>IFERROR(INDEX(SessionDB!$H$2:$H$64,MATCH(1,(SessionDB!$B$2:$B$64=2)*(SessionDB!$C$2:$C$64=$A19)*((SessionDB!$I$2:$I$64=$E$3)+(SessionDB!$I$2:$I$64="all")),0)),IFERROR(INDEX(SessionDB!$H$2:$H$64,MATCH(1,(SessionDB!$B$2:$B$64=2)*(SessionDB!$C$2:$C$64&lt;$A19)*(SessionDB!$D$2:$D$64&gt;$A19)*((SessionDB!$I$2:$I$64=$E$3)+(SessionDB!$I$2:$I$64="all")),0)),""))</f>
        <v/>
      </c>
    </row>
    <row r="20" ht="33.75" customHeight="1" s="88">
      <c r="A20" s="147" t="inlineStr">
        <is>
          <t>16:00</t>
        </is>
      </c>
      <c r="B20" s="148" t="n"/>
      <c r="C20" s="160" t="n"/>
      <c r="D20" s="161" t="n"/>
      <c r="E20" s="162" t="n"/>
      <c r="F20" s="163" t="n"/>
      <c r="G20" s="139" t="n"/>
      <c r="H20" s="139" t="n"/>
      <c r="I20" s="87">
        <f>IFERROR(INDEX(SessionDB!$H$2:$H$64,MATCH(1,(SessionDB!$B$2:$B$64=2)*(SessionDB!$C$2:$C$64=$A20)*((SessionDB!$I$2:$I$64=$E$3)+(SessionDB!$I$2:$I$64="all")),0)),IFERROR(INDEX(SessionDB!$H$2:$H$64,MATCH(1,(SessionDB!$B$2:$B$64=2)*(SessionDB!$C$2:$C$64&lt;$A20)*(SessionDB!$D$2:$D$64&gt;$A20)*((SessionDB!$I$2:$I$64=$E$3)+(SessionDB!$I$2:$I$64="all")),0)),""))</f>
        <v/>
      </c>
    </row>
    <row r="21" ht="33.75" customHeight="1" s="88">
      <c r="A21" s="149" t="inlineStr">
        <is>
          <t>16:30</t>
        </is>
      </c>
      <c r="B21" s="148" t="n"/>
      <c r="C21" s="148" t="n"/>
      <c r="D21" s="148" t="n"/>
      <c r="E21" s="148" t="n"/>
      <c r="F21" s="148" t="n"/>
      <c r="G21" s="139" t="n"/>
      <c r="H21" s="139" t="n"/>
      <c r="I21" s="87">
        <f>IFERROR(INDEX(SessionDB!$H$2:$H$64,MATCH(1,(SessionDB!$B$2:$B$64=2)*(SessionDB!$C$2:$C$64=$A21)*((SessionDB!$I$2:$I$64=$E$3)+(SessionDB!$I$2:$I$64="all")),0)),IFERROR(INDEX(SessionDB!$H$2:$H$64,MATCH(1,(SessionDB!$B$2:$B$64=2)*(SessionDB!$C$2:$C$64&lt;$A21)*(SessionDB!$D$2:$D$64&gt;$A21)*((SessionDB!$I$2:$I$64=$E$3)+(SessionDB!$I$2:$I$64="all")),0)),""))</f>
        <v/>
      </c>
    </row>
    <row r="22" ht="33.75" customHeight="1" s="88">
      <c r="A22" s="147" t="inlineStr">
        <is>
          <t>17:00</t>
        </is>
      </c>
      <c r="B22" s="148" t="n"/>
      <c r="C22" s="148" t="n"/>
      <c r="D22" s="148" t="n"/>
      <c r="E22" s="148" t="n"/>
      <c r="F22" s="148" t="n"/>
      <c r="G22" s="139" t="n"/>
      <c r="H22" s="139" t="n"/>
      <c r="I22" s="87">
        <f>IFERROR(INDEX(SessionDB!$H$2:$H$64,MATCH(1,(SessionDB!$B$2:$B$64=2)*(SessionDB!$C$2:$C$64=$A22)*((SessionDB!$I$2:$I$64=$E$3)+(SessionDB!$I$2:$I$64="all")),0)),IFERROR(INDEX(SessionDB!$H$2:$H$64,MATCH(1,(SessionDB!$B$2:$B$64=2)*(SessionDB!$C$2:$C$64&lt;$A22)*(SessionDB!$D$2:$D$64&gt;$A22)*((SessionDB!$I$2:$I$64=$E$3)+(SessionDB!$I$2:$I$64="all")),0)),""))</f>
        <v/>
      </c>
    </row>
    <row r="23" ht="33.75" customHeight="1" s="88">
      <c r="A23" s="149" t="inlineStr">
        <is>
          <t>17:30</t>
        </is>
      </c>
      <c r="B23" s="148" t="n"/>
      <c r="C23" s="148" t="n"/>
      <c r="D23" s="148" t="n"/>
      <c r="E23" s="148" t="n"/>
      <c r="F23" s="148" t="n"/>
      <c r="G23" s="139" t="n"/>
      <c r="H23" s="139" t="n"/>
      <c r="I23" s="87">
        <f>IFERROR(INDEX(SessionDB!$H$2:$H$64,MATCH(1,(SessionDB!$B$2:$B$64=2)*(SessionDB!$C$2:$C$64=$A23)*((SessionDB!$I$2:$I$64=$E$3)+(SessionDB!$I$2:$I$64="all")),0)),IFERROR(INDEX(SessionDB!$H$2:$H$64,MATCH(1,(SessionDB!$B$2:$B$64=2)*(SessionDB!$C$2:$C$64&lt;$A23)*(SessionDB!$D$2:$D$64&gt;$A23)*((SessionDB!$I$2:$I$64=$E$3)+(SessionDB!$I$2:$I$64="all")),0)),""))</f>
        <v/>
      </c>
    </row>
    <row r="24" ht="15" customHeight="1" s="88">
      <c r="A24" s="139" t="n"/>
      <c r="B24" s="139" t="n"/>
      <c r="C24" s="139" t="n"/>
      <c r="D24" s="139" t="n"/>
      <c r="E24" s="139" t="n"/>
      <c r="F24" s="139" t="n"/>
      <c r="G24" s="139" t="n"/>
      <c r="H24" s="139" t="n"/>
    </row>
    <row r="25" ht="36" customHeight="1" s="88">
      <c r="A25" s="167" t="inlineStr">
        <is>
          <t>Tracks: Overall, Leadership, Technical, Design Thinking, Operations  |  Generated: 08 Mar 2026 13:00</t>
        </is>
      </c>
      <c r="G25" s="139" t="n"/>
      <c r="H25" s="139" t="n"/>
    </row>
  </sheetData>
  <mergeCells count="17">
    <mergeCell ref="A2:F2"/>
    <mergeCell ref="F18:F20"/>
    <mergeCell ref="F14:F16"/>
    <mergeCell ref="B12:B13"/>
    <mergeCell ref="A1:F1"/>
    <mergeCell ref="E18:E20"/>
    <mergeCell ref="C14:C16"/>
    <mergeCell ref="D6:D8"/>
    <mergeCell ref="E14:E16"/>
    <mergeCell ref="D14:D16"/>
    <mergeCell ref="A25:F25"/>
    <mergeCell ref="B10:B11"/>
    <mergeCell ref="C6:C8"/>
    <mergeCell ref="E6:E8"/>
    <mergeCell ref="D18:D20"/>
    <mergeCell ref="C18:C20"/>
    <mergeCell ref="F6:F8"/>
  </mergeCells>
  <conditionalFormatting sqref="B4:B23">
    <cfRule type="expression" rank="0" priority="2" equalAverage="0" aboveAverage="0" dxfId="22" text="" percent="0" bottom="0">
      <formula>F4="Leadership"</formula>
    </cfRule>
    <cfRule type="expression" rank="0" priority="3" equalAverage="0" aboveAverage="0" dxfId="23" text="" percent="0" bottom="0">
      <formula>F4="Technical"</formula>
    </cfRule>
    <cfRule type="expression" rank="0" priority="4" equalAverage="0" aboveAverage="0" dxfId="24" text="" percent="0" bottom="0">
      <formula>F4="Design Thinking"</formula>
    </cfRule>
    <cfRule type="expression" rank="0" priority="5" equalAverage="0" aboveAverage="0" dxfId="25" text="" percent="0" bottom="0">
      <formula>F4="Operations"</formula>
    </cfRule>
    <cfRule type="expression" rank="0" priority="6" equalAverage="0" aboveAverage="0" dxfId="26" text="" percent="0" bottom="0">
      <formula>F4="Keynote"</formula>
    </cfRule>
    <cfRule type="expression" rank="0" priority="7" equalAverage="0" aboveAverage="0" dxfId="27" text="" percent="0" bottom="0">
      <formula>F4="Break"</formula>
    </cfRule>
  </conditionalFormatting>
  <conditionalFormatting sqref="C4:C23">
    <cfRule type="expression" rank="0" priority="8" equalAverage="0" aboveAverage="0" dxfId="22" text="" percent="0" bottom="0">
      <formula>G4="Leadership"</formula>
    </cfRule>
    <cfRule type="expression" rank="0" priority="9" equalAverage="0" aboveAverage="0" dxfId="23" text="" percent="0" bottom="0">
      <formula>G4="Technical"</formula>
    </cfRule>
    <cfRule type="expression" rank="0" priority="10" equalAverage="0" aboveAverage="0" dxfId="24" text="" percent="0" bottom="0">
      <formula>G4="Design Thinking"</formula>
    </cfRule>
    <cfRule type="expression" rank="0" priority="11" equalAverage="0" aboveAverage="0" dxfId="25" text="" percent="0" bottom="0">
      <formula>G4="Operations"</formula>
    </cfRule>
    <cfRule type="expression" rank="0" priority="12" equalAverage="0" aboveAverage="0" dxfId="26" text="" percent="0" bottom="0">
      <formula>G4="Keynote"</formula>
    </cfRule>
    <cfRule type="expression" rank="0" priority="13" equalAverage="0" aboveAverage="0" dxfId="27" text="" percent="0" bottom="0">
      <formula>G4="Break"</formula>
    </cfRule>
  </conditionalFormatting>
  <conditionalFormatting sqref="D4:D23">
    <cfRule type="expression" rank="0" priority="14" equalAverage="0" aboveAverage="0" dxfId="22" text="" percent="0" bottom="0">
      <formula>H4="Leadership"</formula>
    </cfRule>
    <cfRule type="expression" rank="0" priority="15" equalAverage="0" aboveAverage="0" dxfId="23" text="" percent="0" bottom="0">
      <formula>H4="Technical"</formula>
    </cfRule>
    <cfRule type="expression" rank="0" priority="16" equalAverage="0" aboveAverage="0" dxfId="24" text="" percent="0" bottom="0">
      <formula>H4="Design Thinking"</formula>
    </cfRule>
    <cfRule type="expression" rank="0" priority="17" equalAverage="0" aboveAverage="0" dxfId="25" text="" percent="0" bottom="0">
      <formula>H4="Operations"</formula>
    </cfRule>
    <cfRule type="expression" rank="0" priority="18" equalAverage="0" aboveAverage="0" dxfId="26" text="" percent="0" bottom="0">
      <formula>H4="Keynote"</formula>
    </cfRule>
    <cfRule type="expression" rank="0" priority="19" equalAverage="0" aboveAverage="0" dxfId="27" text="" percent="0" bottom="0">
      <formula>H4="Break"</formula>
    </cfRule>
  </conditionalFormatting>
  <conditionalFormatting sqref="E4:E23">
    <cfRule type="expression" rank="0" priority="20" equalAverage="0" aboveAverage="0" dxfId="22" text="" percent="0" bottom="0">
      <formula>I4="Leadership"</formula>
    </cfRule>
    <cfRule type="expression" rank="0" priority="21" equalAverage="0" aboveAverage="0" dxfId="23" text="" percent="0" bottom="0">
      <formula>I4="Technical"</formula>
    </cfRule>
    <cfRule type="expression" rank="0" priority="22" equalAverage="0" aboveAverage="0" dxfId="24" text="" percent="0" bottom="0">
      <formula>I4="Design Thinking"</formula>
    </cfRule>
    <cfRule type="expression" rank="0" priority="23" equalAverage="0" aboveAverage="0" dxfId="25" text="" percent="0" bottom="0">
      <formula>I4="Operations"</formula>
    </cfRule>
    <cfRule type="expression" rank="0" priority="24" equalAverage="0" aboveAverage="0" dxfId="26" text="" percent="0" bottom="0">
      <formula>I4="Keynote"</formula>
    </cfRule>
    <cfRule type="expression" rank="0" priority="25" equalAverage="0" aboveAverage="0" dxfId="27" text="" percent="0" bottom="0">
      <formula>I4="Break"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2563EB"/>
    <outlinePr summaryBelow="1" summaryRight="1"/>
    <pageSetUpPr fitToPage="1"/>
  </sheetPr>
  <dimension ref="A1:I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87" min="1" max="1"/>
    <col width="28" customWidth="1" style="87" min="2" max="5"/>
    <col hidden="1" width="2" customWidth="1" style="87" min="6" max="9"/>
  </cols>
  <sheetData>
    <row r="1" ht="42" customHeight="1" s="88">
      <c r="A1" s="108" t="inlineStr">
        <is>
          <t>DAY 3: Wed Mar 11</t>
        </is>
      </c>
      <c r="G1" s="139" t="n"/>
      <c r="H1" s="139" t="n"/>
    </row>
    <row r="2" ht="24" customHeight="1" s="88">
      <c r="A2" s="140" t="inlineStr">
        <is>
          <t>REFRESHED: 08 Mar 2026 13:00  |  4 tracks + Overall  |  Workshop 2026</t>
        </is>
      </c>
      <c r="G2" s="139" t="n"/>
      <c r="H2" s="139" t="n"/>
    </row>
    <row r="3" ht="31.5" customHeight="1" s="88">
      <c r="A3" s="141" t="inlineStr">
        <is>
          <t>TIME</t>
        </is>
      </c>
      <c r="B3" s="142" t="inlineStr">
        <is>
          <t>OVERALL</t>
        </is>
      </c>
      <c r="C3" s="143" t="inlineStr">
        <is>
          <t>LEADERSHIP</t>
        </is>
      </c>
      <c r="D3" s="144" t="inlineStr">
        <is>
          <t>TECHNICAL</t>
        </is>
      </c>
      <c r="E3" s="145" t="inlineStr">
        <is>
          <t>DESIGN THINKING</t>
        </is>
      </c>
      <c r="F3" s="146" t="inlineStr">
        <is>
          <t>OPERATIONS</t>
        </is>
      </c>
      <c r="G3" s="139" t="n"/>
      <c r="H3" s="139" t="n"/>
    </row>
    <row r="4" ht="33.75" customHeight="1" s="88">
      <c r="A4" s="147" t="inlineStr">
        <is>
          <t>08:00</t>
        </is>
      </c>
      <c r="B4" s="148" t="n"/>
      <c r="C4" s="148" t="n"/>
      <c r="D4" s="148" t="n"/>
      <c r="E4" s="148" t="n"/>
      <c r="F4" s="148" t="n"/>
      <c r="G4" s="139" t="n"/>
      <c r="H4" s="139" t="n"/>
      <c r="I4" s="87">
        <f>IFERROR(INDEX(SessionDB!$H$2:$H$64,MATCH(1,(SessionDB!$B$2:$B$64=3)*(SessionDB!$C$2:$C$64=$A4)*((SessionDB!$I$2:$I$64=$E$3)+(SessionDB!$I$2:$I$64="all")),0)),IFERROR(INDEX(SessionDB!$H$2:$H$64,MATCH(1,(SessionDB!$B$2:$B$64=3)*(SessionDB!$C$2:$C$64&lt;$A4)*(SessionDB!$D$2:$D$64&gt;$A4)*((SessionDB!$I$2:$I$64=$E$3)+(SessionDB!$I$2:$I$64="all")),0)),""))</f>
        <v/>
      </c>
    </row>
    <row r="5" ht="33.75" customHeight="1" s="88">
      <c r="A5" s="149" t="inlineStr">
        <is>
          <t>08:30</t>
        </is>
      </c>
      <c r="B5" s="148" t="n"/>
      <c r="C5" s="148" t="n"/>
      <c r="D5" s="148" t="n"/>
      <c r="E5" s="148" t="n"/>
      <c r="F5" s="148" t="n"/>
      <c r="G5" s="139" t="n"/>
      <c r="H5" s="139" t="n"/>
      <c r="I5" s="87">
        <f>IFERROR(INDEX(SessionDB!$H$2:$H$64,MATCH(1,(SessionDB!$B$2:$B$64=3)*(SessionDB!$C$2:$C$64=$A5)*((SessionDB!$I$2:$I$64=$E$3)+(SessionDB!$I$2:$I$64="all")),0)),IFERROR(INDEX(SessionDB!$H$2:$H$64,MATCH(1,(SessionDB!$B$2:$B$64=3)*(SessionDB!$C$2:$C$64&lt;$A5)*(SessionDB!$D$2:$D$64&gt;$A5)*((SessionDB!$I$2:$I$64=$E$3)+(SessionDB!$I$2:$I$64="all")),0)),""))</f>
        <v/>
      </c>
    </row>
    <row r="6" ht="33.75" customHeight="1" s="88">
      <c r="A6" s="147" t="inlineStr">
        <is>
          <t>09:00</t>
        </is>
      </c>
      <c r="B6" s="150" t="inlineStr">
        <is>
          <t>Midweek Keynote
Lead: Dr. Sarah Chen  •  Main Hall</t>
        </is>
      </c>
      <c r="C6" s="148" t="n"/>
      <c r="D6" s="148" t="n"/>
      <c r="E6" s="148" t="n"/>
      <c r="F6" s="148" t="n"/>
      <c r="G6" s="139" t="n"/>
      <c r="H6" s="139" t="n"/>
      <c r="I6" s="87">
        <f>IFERROR(INDEX(SessionDB!$H$2:$H$64,MATCH(1,(SessionDB!$B$2:$B$64=3)*(SessionDB!$C$2:$C$64=$A6)*((SessionDB!$I$2:$I$64=$E$3)+(SessionDB!$I$2:$I$64="all")),0)),IFERROR(INDEX(SessionDB!$H$2:$H$64,MATCH(1,(SessionDB!$B$2:$B$64=3)*(SessionDB!$C$2:$C$64&lt;$A6)*(SessionDB!$D$2:$D$64&gt;$A6)*((SessionDB!$I$2:$I$64=$E$3)+(SessionDB!$I$2:$I$64="all")),0)),""))</f>
        <v/>
      </c>
    </row>
    <row r="7" ht="33.75" customHeight="1" s="88">
      <c r="A7" s="149" t="inlineStr">
        <is>
          <t>09:30</t>
        </is>
      </c>
      <c r="B7" s="151" t="n"/>
      <c r="C7" s="148" t="n"/>
      <c r="D7" s="148" t="n"/>
      <c r="E7" s="148" t="n"/>
      <c r="F7" s="148" t="n"/>
      <c r="G7" s="139" t="n"/>
      <c r="H7" s="139" t="n"/>
      <c r="I7" s="87">
        <f>IFERROR(INDEX(SessionDB!$H$2:$H$64,MATCH(1,(SessionDB!$B$2:$B$64=3)*(SessionDB!$C$2:$C$64=$A7)*((SessionDB!$I$2:$I$64=$E$3)+(SessionDB!$I$2:$I$64="all")),0)),IFERROR(INDEX(SessionDB!$H$2:$H$64,MATCH(1,(SessionDB!$B$2:$B$64=3)*(SessionDB!$C$2:$C$64&lt;$A7)*(SessionDB!$D$2:$D$64&gt;$A7)*((SessionDB!$I$2:$I$64=$E$3)+(SessionDB!$I$2:$I$64="all")),0)),""))</f>
        <v/>
      </c>
    </row>
    <row r="8" ht="33.75" customHeight="1" s="88">
      <c r="A8" s="147" t="inlineStr">
        <is>
          <t>10:00</t>
        </is>
      </c>
      <c r="B8" s="166" t="inlineStr">
        <is>
          <t>Morning Break</t>
        </is>
      </c>
      <c r="C8" s="148" t="n"/>
      <c r="D8" s="148" t="n"/>
      <c r="E8" s="148" t="n"/>
      <c r="F8" s="148" t="n"/>
      <c r="G8" s="139" t="n"/>
      <c r="H8" s="139" t="n"/>
      <c r="I8" s="87">
        <f>IFERROR(INDEX(SessionDB!$H$2:$H$64,MATCH(1,(SessionDB!$B$2:$B$64=3)*(SessionDB!$C$2:$C$64=$A8)*((SessionDB!$I$2:$I$64=$E$3)+(SessionDB!$I$2:$I$64="all")),0)),IFERROR(INDEX(SessionDB!$H$2:$H$64,MATCH(1,(SessionDB!$B$2:$B$64=3)*(SessionDB!$C$2:$C$64&lt;$A8)*(SessionDB!$D$2:$D$64&gt;$A8)*((SessionDB!$I$2:$I$64=$E$3)+(SessionDB!$I$2:$I$64="all")),0)),""))</f>
        <v/>
      </c>
    </row>
    <row r="9" ht="33.75" customHeight="1" s="88">
      <c r="A9" s="149" t="inlineStr">
        <is>
          <t>10:30</t>
        </is>
      </c>
      <c r="B9" s="148" t="n"/>
      <c r="C9" s="152" t="inlineStr">
        <is>
          <t>Cross-Team Collaboration
Lead: Aisha Johnson  •  Room A1</t>
        </is>
      </c>
      <c r="D9" s="153" t="inlineStr">
        <is>
          <t>AI/ML Integration
Lead: Wei Zhang  •  Room B1</t>
        </is>
      </c>
      <c r="E9" s="154" t="inlineStr">
        <is>
          <t>Workshop Facilitation
Lead: Lena Müller  •  Room C1</t>
        </is>
      </c>
      <c r="F9" s="155" t="inlineStr">
        <is>
          <t>Incident Response
Lead: Alex Novak  •  Room D1</t>
        </is>
      </c>
      <c r="G9" s="139" t="n"/>
      <c r="H9" s="139" t="n"/>
      <c r="I9" s="87">
        <f>IFERROR(INDEX(SessionDB!$H$2:$H$64,MATCH(1,(SessionDB!$B$2:$B$64=3)*(SessionDB!$C$2:$C$64=$A9)*((SessionDB!$I$2:$I$64=$E$3)+(SessionDB!$I$2:$I$64="all")),0)),IFERROR(INDEX(SessionDB!$H$2:$H$64,MATCH(1,(SessionDB!$B$2:$B$64=3)*(SessionDB!$C$2:$C$64&lt;$A9)*(SessionDB!$D$2:$D$64&gt;$A9)*((SessionDB!$I$2:$I$64=$E$3)+(SessionDB!$I$2:$I$64="all")),0)),""))</f>
        <v/>
      </c>
    </row>
    <row r="10" ht="33.75" customHeight="1" s="88">
      <c r="A10" s="147" t="inlineStr">
        <is>
          <t>11:00</t>
        </is>
      </c>
      <c r="B10" s="148" t="n"/>
      <c r="C10" s="156" t="n"/>
      <c r="D10" s="157" t="n"/>
      <c r="E10" s="158" t="n"/>
      <c r="F10" s="159" t="n"/>
      <c r="G10" s="139" t="n"/>
      <c r="H10" s="139" t="n"/>
      <c r="I10" s="87">
        <f>IFERROR(INDEX(SessionDB!$H$2:$H$64,MATCH(1,(SessionDB!$B$2:$B$64=3)*(SessionDB!$C$2:$C$64=$A10)*((SessionDB!$I$2:$I$64=$E$3)+(SessionDB!$I$2:$I$64="all")),0)),IFERROR(INDEX(SessionDB!$H$2:$H$64,MATCH(1,(SessionDB!$B$2:$B$64=3)*(SessionDB!$C$2:$C$64&lt;$A10)*(SessionDB!$D$2:$D$64&gt;$A10)*((SessionDB!$I$2:$I$64=$E$3)+(SessionDB!$I$2:$I$64="all")),0)),""))</f>
        <v/>
      </c>
    </row>
    <row r="11" ht="33.75" customHeight="1" s="88">
      <c r="A11" s="149" t="inlineStr">
        <is>
          <t>11:30</t>
        </is>
      </c>
      <c r="B11" s="148" t="n"/>
      <c r="C11" s="160" t="n"/>
      <c r="D11" s="161" t="n"/>
      <c r="E11" s="162" t="n"/>
      <c r="F11" s="163" t="n"/>
      <c r="G11" s="139" t="n"/>
      <c r="H11" s="139" t="n"/>
      <c r="I11" s="87">
        <f>IFERROR(INDEX(SessionDB!$H$2:$H$64,MATCH(1,(SessionDB!$B$2:$B$64=3)*(SessionDB!$C$2:$C$64=$A11)*((SessionDB!$I$2:$I$64=$E$3)+(SessionDB!$I$2:$I$64="all")),0)),IFERROR(INDEX(SessionDB!$H$2:$H$64,MATCH(1,(SessionDB!$B$2:$B$64=3)*(SessionDB!$C$2:$C$64&lt;$A11)*(SessionDB!$D$2:$D$64&gt;$A11)*((SessionDB!$I$2:$I$64=$E$3)+(SessionDB!$I$2:$I$64="all")),0)),""))</f>
        <v/>
      </c>
    </row>
    <row r="12" ht="33.75" customHeight="1" s="88">
      <c r="A12" s="147" t="inlineStr">
        <is>
          <t>12:00</t>
        </is>
      </c>
      <c r="B12" s="164" t="inlineStr">
        <is>
          <t>Lunch &amp; Networking</t>
        </is>
      </c>
      <c r="C12" s="148" t="n"/>
      <c r="D12" s="148" t="n"/>
      <c r="E12" s="148" t="n"/>
      <c r="F12" s="148" t="n"/>
      <c r="G12" s="139" t="n"/>
      <c r="H12" s="139" t="n"/>
      <c r="I12" s="87">
        <f>IFERROR(INDEX(SessionDB!$H$2:$H$64,MATCH(1,(SessionDB!$B$2:$B$64=3)*(SessionDB!$C$2:$C$64=$A12)*((SessionDB!$I$2:$I$64=$E$3)+(SessionDB!$I$2:$I$64="all")),0)),IFERROR(INDEX(SessionDB!$H$2:$H$64,MATCH(1,(SessionDB!$B$2:$B$64=3)*(SessionDB!$C$2:$C$64&lt;$A12)*(SessionDB!$D$2:$D$64&gt;$A12)*((SessionDB!$I$2:$I$64=$E$3)+(SessionDB!$I$2:$I$64="all")),0)),""))</f>
        <v/>
      </c>
    </row>
    <row r="13" ht="33.75" customHeight="1" s="88">
      <c r="A13" s="149" t="inlineStr">
        <is>
          <t>12:30</t>
        </is>
      </c>
      <c r="B13" s="165" t="n"/>
      <c r="C13" s="148" t="n"/>
      <c r="D13" s="148" t="n"/>
      <c r="E13" s="148" t="n"/>
      <c r="F13" s="148" t="n"/>
      <c r="G13" s="139" t="n"/>
      <c r="H13" s="139" t="n"/>
      <c r="I13" s="87">
        <f>IFERROR(INDEX(SessionDB!$H$2:$H$64,MATCH(1,(SessionDB!$B$2:$B$64=3)*(SessionDB!$C$2:$C$64=$A13)*((SessionDB!$I$2:$I$64=$E$3)+(SessionDB!$I$2:$I$64="all")),0)),IFERROR(INDEX(SessionDB!$H$2:$H$64,MATCH(1,(SessionDB!$B$2:$B$64=3)*(SessionDB!$C$2:$C$64&lt;$A13)*(SessionDB!$D$2:$D$64&gt;$A13)*((SessionDB!$I$2:$I$64=$E$3)+(SessionDB!$I$2:$I$64="all")),0)),""))</f>
        <v/>
      </c>
    </row>
    <row r="14" ht="33.75" customHeight="1" s="88">
      <c r="A14" s="147" t="inlineStr">
        <is>
          <t>13:00</t>
        </is>
      </c>
      <c r="B14" s="150" t="inlineStr">
        <is>
          <t>Cross-Track Hackathon
Lead: All Facilitators  •  All Rooms</t>
        </is>
      </c>
      <c r="C14" s="148" t="n"/>
      <c r="D14" s="148" t="n"/>
      <c r="E14" s="148" t="n"/>
      <c r="F14" s="148" t="n"/>
      <c r="G14" s="139" t="n"/>
      <c r="H14" s="139" t="n"/>
      <c r="I14" s="87">
        <f>IFERROR(INDEX(SessionDB!$H$2:$H$64,MATCH(1,(SessionDB!$B$2:$B$64=3)*(SessionDB!$C$2:$C$64=$A14)*((SessionDB!$I$2:$I$64=$E$3)+(SessionDB!$I$2:$I$64="all")),0)),IFERROR(INDEX(SessionDB!$H$2:$H$64,MATCH(1,(SessionDB!$B$2:$B$64=3)*(SessionDB!$C$2:$C$64&lt;$A14)*(SessionDB!$D$2:$D$64&gt;$A14)*((SessionDB!$I$2:$I$64=$E$3)+(SessionDB!$I$2:$I$64="all")),0)),""))</f>
        <v/>
      </c>
    </row>
    <row r="15" ht="33.75" customHeight="1" s="88">
      <c r="A15" s="149" t="inlineStr">
        <is>
          <t>13:30</t>
        </is>
      </c>
      <c r="B15" s="168" t="n"/>
      <c r="C15" s="148" t="n"/>
      <c r="D15" s="148" t="n"/>
      <c r="E15" s="148" t="n"/>
      <c r="F15" s="148" t="n"/>
      <c r="G15" s="139" t="n"/>
      <c r="H15" s="139" t="n"/>
      <c r="I15" s="87">
        <f>IFERROR(INDEX(SessionDB!$H$2:$H$64,MATCH(1,(SessionDB!$B$2:$B$64=3)*(SessionDB!$C$2:$C$64=$A15)*((SessionDB!$I$2:$I$64=$E$3)+(SessionDB!$I$2:$I$64="all")),0)),IFERROR(INDEX(SessionDB!$H$2:$H$64,MATCH(1,(SessionDB!$B$2:$B$64=3)*(SessionDB!$C$2:$C$64&lt;$A15)*(SessionDB!$D$2:$D$64&gt;$A15)*((SessionDB!$I$2:$I$64=$E$3)+(SessionDB!$I$2:$I$64="all")),0)),""))</f>
        <v/>
      </c>
    </row>
    <row r="16" ht="33.75" customHeight="1" s="88">
      <c r="A16" s="147" t="inlineStr">
        <is>
          <t>14:00</t>
        </is>
      </c>
      <c r="B16" s="168" t="n"/>
      <c r="C16" s="148" t="n"/>
      <c r="D16" s="148" t="n"/>
      <c r="E16" s="148" t="n"/>
      <c r="F16" s="148" t="n"/>
      <c r="G16" s="139" t="n"/>
      <c r="H16" s="139" t="n"/>
      <c r="I16" s="87">
        <f>IFERROR(INDEX(SessionDB!$H$2:$H$64,MATCH(1,(SessionDB!$B$2:$B$64=3)*(SessionDB!$C$2:$C$64=$A16)*((SessionDB!$I$2:$I$64=$E$3)+(SessionDB!$I$2:$I$64="all")),0)),IFERROR(INDEX(SessionDB!$H$2:$H$64,MATCH(1,(SessionDB!$B$2:$B$64=3)*(SessionDB!$C$2:$C$64&lt;$A16)*(SessionDB!$D$2:$D$64&gt;$A16)*((SessionDB!$I$2:$I$64=$E$3)+(SessionDB!$I$2:$I$64="all")),0)),""))</f>
        <v/>
      </c>
    </row>
    <row r="17" ht="33.75" customHeight="1" s="88">
      <c r="A17" s="149" t="inlineStr">
        <is>
          <t>14:30</t>
        </is>
      </c>
      <c r="B17" s="168" t="n"/>
      <c r="C17" s="148" t="n"/>
      <c r="D17" s="148" t="n"/>
      <c r="E17" s="148" t="n"/>
      <c r="F17" s="148" t="n"/>
      <c r="G17" s="139" t="n"/>
      <c r="H17" s="139" t="n"/>
      <c r="I17" s="87">
        <f>IFERROR(INDEX(SessionDB!$H$2:$H$64,MATCH(1,(SessionDB!$B$2:$B$64=3)*(SessionDB!$C$2:$C$64=$A17)*((SessionDB!$I$2:$I$64=$E$3)+(SessionDB!$I$2:$I$64="all")),0)),IFERROR(INDEX(SessionDB!$H$2:$H$64,MATCH(1,(SessionDB!$B$2:$B$64=3)*(SessionDB!$C$2:$C$64&lt;$A17)*(SessionDB!$D$2:$D$64&gt;$A17)*((SessionDB!$I$2:$I$64=$E$3)+(SessionDB!$I$2:$I$64="all")),0)),""))</f>
        <v/>
      </c>
    </row>
    <row r="18" ht="33.75" customHeight="1" s="88">
      <c r="A18" s="147" t="inlineStr">
        <is>
          <t>15:00</t>
        </is>
      </c>
      <c r="B18" s="168" t="n"/>
      <c r="C18" s="148" t="n"/>
      <c r="D18" s="148" t="n"/>
      <c r="E18" s="148" t="n"/>
      <c r="F18" s="148" t="n"/>
      <c r="G18" s="139" t="n"/>
      <c r="H18" s="139" t="n"/>
      <c r="I18" s="87">
        <f>IFERROR(INDEX(SessionDB!$H$2:$H$64,MATCH(1,(SessionDB!$B$2:$B$64=3)*(SessionDB!$C$2:$C$64=$A18)*((SessionDB!$I$2:$I$64=$E$3)+(SessionDB!$I$2:$I$64="all")),0)),IFERROR(INDEX(SessionDB!$H$2:$H$64,MATCH(1,(SessionDB!$B$2:$B$64=3)*(SessionDB!$C$2:$C$64&lt;$A18)*(SessionDB!$D$2:$D$64&gt;$A18)*((SessionDB!$I$2:$I$64=$E$3)+(SessionDB!$I$2:$I$64="all")),0)),""))</f>
        <v/>
      </c>
    </row>
    <row r="19" ht="33.75" customHeight="1" s="88">
      <c r="A19" s="149" t="inlineStr">
        <is>
          <t>15:30</t>
        </is>
      </c>
      <c r="B19" s="168" t="n"/>
      <c r="C19" s="148" t="n"/>
      <c r="D19" s="148" t="n"/>
      <c r="E19" s="148" t="n"/>
      <c r="F19" s="148" t="n"/>
      <c r="G19" s="139" t="n"/>
      <c r="H19" s="139" t="n"/>
      <c r="I19" s="87">
        <f>IFERROR(INDEX(SessionDB!$H$2:$H$64,MATCH(1,(SessionDB!$B$2:$B$64=3)*(SessionDB!$C$2:$C$64=$A19)*((SessionDB!$I$2:$I$64=$E$3)+(SessionDB!$I$2:$I$64="all")),0)),IFERROR(INDEX(SessionDB!$H$2:$H$64,MATCH(1,(SessionDB!$B$2:$B$64=3)*(SessionDB!$C$2:$C$64&lt;$A19)*(SessionDB!$D$2:$D$64&gt;$A19)*((SessionDB!$I$2:$I$64=$E$3)+(SessionDB!$I$2:$I$64="all")),0)),""))</f>
        <v/>
      </c>
    </row>
    <row r="20" ht="33.75" customHeight="1" s="88">
      <c r="A20" s="147" t="inlineStr">
        <is>
          <t>16:00</t>
        </is>
      </c>
      <c r="B20" s="151" t="n"/>
      <c r="C20" s="148" t="n"/>
      <c r="D20" s="148" t="n"/>
      <c r="E20" s="148" t="n"/>
      <c r="F20" s="148" t="n"/>
      <c r="G20" s="139" t="n"/>
      <c r="H20" s="139" t="n"/>
      <c r="I20" s="87">
        <f>IFERROR(INDEX(SessionDB!$H$2:$H$64,MATCH(1,(SessionDB!$B$2:$B$64=3)*(SessionDB!$C$2:$C$64=$A20)*((SessionDB!$I$2:$I$64=$E$3)+(SessionDB!$I$2:$I$64="all")),0)),IFERROR(INDEX(SessionDB!$H$2:$H$64,MATCH(1,(SessionDB!$B$2:$B$64=3)*(SessionDB!$C$2:$C$64&lt;$A20)*(SessionDB!$D$2:$D$64&gt;$A20)*((SessionDB!$I$2:$I$64=$E$3)+(SessionDB!$I$2:$I$64="all")),0)),""))</f>
        <v/>
      </c>
    </row>
    <row r="21" ht="33.75" customHeight="1" s="88">
      <c r="A21" s="149" t="inlineStr">
        <is>
          <t>16:30</t>
        </is>
      </c>
      <c r="B21" s="148" t="n"/>
      <c r="C21" s="148" t="n"/>
      <c r="D21" s="148" t="n"/>
      <c r="E21" s="148" t="n"/>
      <c r="F21" s="148" t="n"/>
      <c r="G21" s="139" t="n"/>
      <c r="H21" s="139" t="n"/>
      <c r="I21" s="87">
        <f>IFERROR(INDEX(SessionDB!$H$2:$H$64,MATCH(1,(SessionDB!$B$2:$B$64=3)*(SessionDB!$C$2:$C$64=$A21)*((SessionDB!$I$2:$I$64=$E$3)+(SessionDB!$I$2:$I$64="all")),0)),IFERROR(INDEX(SessionDB!$H$2:$H$64,MATCH(1,(SessionDB!$B$2:$B$64=3)*(SessionDB!$C$2:$C$64&lt;$A21)*(SessionDB!$D$2:$D$64&gt;$A21)*((SessionDB!$I$2:$I$64=$E$3)+(SessionDB!$I$2:$I$64="all")),0)),""))</f>
        <v/>
      </c>
    </row>
    <row r="22" ht="33.75" customHeight="1" s="88">
      <c r="A22" s="147" t="inlineStr">
        <is>
          <t>17:00</t>
        </is>
      </c>
      <c r="B22" s="148" t="n"/>
      <c r="C22" s="148" t="n"/>
      <c r="D22" s="148" t="n"/>
      <c r="E22" s="148" t="n"/>
      <c r="F22" s="148" t="n"/>
      <c r="G22" s="139" t="n"/>
      <c r="H22" s="139" t="n"/>
      <c r="I22" s="87">
        <f>IFERROR(INDEX(SessionDB!$H$2:$H$64,MATCH(1,(SessionDB!$B$2:$B$64=3)*(SessionDB!$C$2:$C$64=$A22)*((SessionDB!$I$2:$I$64=$E$3)+(SessionDB!$I$2:$I$64="all")),0)),IFERROR(INDEX(SessionDB!$H$2:$H$64,MATCH(1,(SessionDB!$B$2:$B$64=3)*(SessionDB!$C$2:$C$64&lt;$A22)*(SessionDB!$D$2:$D$64&gt;$A22)*((SessionDB!$I$2:$I$64=$E$3)+(SessionDB!$I$2:$I$64="all")),0)),""))</f>
        <v/>
      </c>
    </row>
    <row r="23" ht="33.75" customHeight="1" s="88">
      <c r="A23" s="149" t="inlineStr">
        <is>
          <t>17:30</t>
        </is>
      </c>
      <c r="B23" s="148" t="n"/>
      <c r="C23" s="148" t="n"/>
      <c r="D23" s="148" t="n"/>
      <c r="E23" s="148" t="n"/>
      <c r="F23" s="148" t="n"/>
      <c r="G23" s="139" t="n"/>
      <c r="H23" s="139" t="n"/>
      <c r="I23" s="87">
        <f>IFERROR(INDEX(SessionDB!$H$2:$H$64,MATCH(1,(SessionDB!$B$2:$B$64=3)*(SessionDB!$C$2:$C$64=$A23)*((SessionDB!$I$2:$I$64=$E$3)+(SessionDB!$I$2:$I$64="all")),0)),IFERROR(INDEX(SessionDB!$H$2:$H$64,MATCH(1,(SessionDB!$B$2:$B$64=3)*(SessionDB!$C$2:$C$64&lt;$A23)*(SessionDB!$D$2:$D$64&gt;$A23)*((SessionDB!$I$2:$I$64=$E$3)+(SessionDB!$I$2:$I$64="all")),0)),""))</f>
        <v/>
      </c>
    </row>
    <row r="24" ht="15" customHeight="1" s="88">
      <c r="A24" s="139" t="n"/>
      <c r="B24" s="139" t="n"/>
      <c r="C24" s="139" t="n"/>
      <c r="D24" s="139" t="n"/>
      <c r="E24" s="139" t="n"/>
      <c r="F24" s="139" t="n"/>
      <c r="G24" s="139" t="n"/>
      <c r="H24" s="139" t="n"/>
    </row>
    <row r="25" ht="36" customHeight="1" s="88">
      <c r="A25" s="167" t="inlineStr">
        <is>
          <t>Tracks: Overall, Leadership, Technical, Design Thinking, Operations  |  Generated: 08 Mar 2026 13:00</t>
        </is>
      </c>
      <c r="G25" s="139" t="n"/>
      <c r="H25" s="139" t="n"/>
    </row>
  </sheetData>
  <mergeCells count="10">
    <mergeCell ref="A2:F2"/>
    <mergeCell ref="F9:F11"/>
    <mergeCell ref="B12:B13"/>
    <mergeCell ref="D9:D11"/>
    <mergeCell ref="A1:F1"/>
    <mergeCell ref="C9:C11"/>
    <mergeCell ref="B6:B7"/>
    <mergeCell ref="B14:B20"/>
    <mergeCell ref="A25:F25"/>
    <mergeCell ref="E9:E11"/>
  </mergeCells>
  <conditionalFormatting sqref="B4:B23">
    <cfRule type="expression" rank="0" priority="2" equalAverage="0" aboveAverage="0" dxfId="22" text="" percent="0" bottom="0">
      <formula>F4="Leadership"</formula>
    </cfRule>
    <cfRule type="expression" rank="0" priority="3" equalAverage="0" aboveAverage="0" dxfId="23" text="" percent="0" bottom="0">
      <formula>F4="Technical"</formula>
    </cfRule>
    <cfRule type="expression" rank="0" priority="4" equalAverage="0" aboveAverage="0" dxfId="24" text="" percent="0" bottom="0">
      <formula>F4="Design Thinking"</formula>
    </cfRule>
    <cfRule type="expression" rank="0" priority="5" equalAverage="0" aboveAverage="0" dxfId="25" text="" percent="0" bottom="0">
      <formula>F4="Operations"</formula>
    </cfRule>
    <cfRule type="expression" rank="0" priority="6" equalAverage="0" aboveAverage="0" dxfId="26" text="" percent="0" bottom="0">
      <formula>F4="Keynote"</formula>
    </cfRule>
    <cfRule type="expression" rank="0" priority="7" equalAverage="0" aboveAverage="0" dxfId="27" text="" percent="0" bottom="0">
      <formula>F4="Break"</formula>
    </cfRule>
  </conditionalFormatting>
  <conditionalFormatting sqref="C4:C23">
    <cfRule type="expression" rank="0" priority="8" equalAverage="0" aboveAverage="0" dxfId="22" text="" percent="0" bottom="0">
      <formula>G4="Leadership"</formula>
    </cfRule>
    <cfRule type="expression" rank="0" priority="9" equalAverage="0" aboveAverage="0" dxfId="23" text="" percent="0" bottom="0">
      <formula>G4="Technical"</formula>
    </cfRule>
    <cfRule type="expression" rank="0" priority="10" equalAverage="0" aboveAverage="0" dxfId="24" text="" percent="0" bottom="0">
      <formula>G4="Design Thinking"</formula>
    </cfRule>
    <cfRule type="expression" rank="0" priority="11" equalAverage="0" aboveAverage="0" dxfId="25" text="" percent="0" bottom="0">
      <formula>G4="Operations"</formula>
    </cfRule>
    <cfRule type="expression" rank="0" priority="12" equalAverage="0" aboveAverage="0" dxfId="26" text="" percent="0" bottom="0">
      <formula>G4="Keynote"</formula>
    </cfRule>
    <cfRule type="expression" rank="0" priority="13" equalAverage="0" aboveAverage="0" dxfId="27" text="" percent="0" bottom="0">
      <formula>G4="Break"</formula>
    </cfRule>
  </conditionalFormatting>
  <conditionalFormatting sqref="D4:D23">
    <cfRule type="expression" rank="0" priority="14" equalAverage="0" aboveAverage="0" dxfId="22" text="" percent="0" bottom="0">
      <formula>H4="Leadership"</formula>
    </cfRule>
    <cfRule type="expression" rank="0" priority="15" equalAverage="0" aboveAverage="0" dxfId="23" text="" percent="0" bottom="0">
      <formula>H4="Technical"</formula>
    </cfRule>
    <cfRule type="expression" rank="0" priority="16" equalAverage="0" aboveAverage="0" dxfId="24" text="" percent="0" bottom="0">
      <formula>H4="Design Thinking"</formula>
    </cfRule>
    <cfRule type="expression" rank="0" priority="17" equalAverage="0" aboveAverage="0" dxfId="25" text="" percent="0" bottom="0">
      <formula>H4="Operations"</formula>
    </cfRule>
    <cfRule type="expression" rank="0" priority="18" equalAverage="0" aboveAverage="0" dxfId="26" text="" percent="0" bottom="0">
      <formula>H4="Keynote"</formula>
    </cfRule>
    <cfRule type="expression" rank="0" priority="19" equalAverage="0" aboveAverage="0" dxfId="27" text="" percent="0" bottom="0">
      <formula>H4="Break"</formula>
    </cfRule>
  </conditionalFormatting>
  <conditionalFormatting sqref="E4:E23">
    <cfRule type="expression" rank="0" priority="20" equalAverage="0" aboveAverage="0" dxfId="22" text="" percent="0" bottom="0">
      <formula>I4="Leadership"</formula>
    </cfRule>
    <cfRule type="expression" rank="0" priority="21" equalAverage="0" aboveAverage="0" dxfId="23" text="" percent="0" bottom="0">
      <formula>I4="Technical"</formula>
    </cfRule>
    <cfRule type="expression" rank="0" priority="22" equalAverage="0" aboveAverage="0" dxfId="24" text="" percent="0" bottom="0">
      <formula>I4="Design Thinking"</formula>
    </cfRule>
    <cfRule type="expression" rank="0" priority="23" equalAverage="0" aboveAverage="0" dxfId="25" text="" percent="0" bottom="0">
      <formula>I4="Operations"</formula>
    </cfRule>
    <cfRule type="expression" rank="0" priority="24" equalAverage="0" aboveAverage="0" dxfId="26" text="" percent="0" bottom="0">
      <formula>I4="Keynote"</formula>
    </cfRule>
    <cfRule type="expression" rank="0" priority="25" equalAverage="0" aboveAverage="0" dxfId="27" text="" percent="0" bottom="0">
      <formula>I4="Break"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7C3AED"/>
    <outlinePr summaryBelow="1" summaryRight="1"/>
    <pageSetUpPr fitToPage="1"/>
  </sheetPr>
  <dimension ref="A1:I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87" min="1" max="1"/>
    <col width="28" customWidth="1" style="87" min="2" max="5"/>
    <col hidden="1" width="2" customWidth="1" style="87" min="6" max="9"/>
  </cols>
  <sheetData>
    <row r="1" ht="42" customHeight="1" s="88">
      <c r="A1" s="108" t="inlineStr">
        <is>
          <t>DAY 4: Thu Mar 12</t>
        </is>
      </c>
      <c r="G1" s="139" t="n"/>
      <c r="H1" s="139" t="n"/>
    </row>
    <row r="2" ht="24" customHeight="1" s="88">
      <c r="A2" s="140" t="inlineStr">
        <is>
          <t>REFRESHED: 08 Mar 2026 13:00  |  4 tracks + Overall  |  Workshop 2026</t>
        </is>
      </c>
      <c r="G2" s="139" t="n"/>
      <c r="H2" s="139" t="n"/>
    </row>
    <row r="3" ht="31.5" customHeight="1" s="88">
      <c r="A3" s="141" t="inlineStr">
        <is>
          <t>TIME</t>
        </is>
      </c>
      <c r="B3" s="142" t="inlineStr">
        <is>
          <t>OVERALL</t>
        </is>
      </c>
      <c r="C3" s="143" t="inlineStr">
        <is>
          <t>LEADERSHIP</t>
        </is>
      </c>
      <c r="D3" s="144" t="inlineStr">
        <is>
          <t>TECHNICAL</t>
        </is>
      </c>
      <c r="E3" s="145" t="inlineStr">
        <is>
          <t>DESIGN THINKING</t>
        </is>
      </c>
      <c r="F3" s="146" t="inlineStr">
        <is>
          <t>OPERATIONS</t>
        </is>
      </c>
      <c r="G3" s="139" t="n"/>
      <c r="H3" s="139" t="n"/>
    </row>
    <row r="4" ht="33.75" customHeight="1" s="88">
      <c r="A4" s="147" t="inlineStr">
        <is>
          <t>08:00</t>
        </is>
      </c>
      <c r="B4" s="148" t="n"/>
      <c r="C4" s="148" t="n"/>
      <c r="D4" s="148" t="n"/>
      <c r="E4" s="148" t="n"/>
      <c r="F4" s="148" t="n"/>
      <c r="G4" s="139" t="n"/>
      <c r="H4" s="139" t="n"/>
      <c r="I4" s="87">
        <f>IFERROR(INDEX(SessionDB!$H$2:$H$64,MATCH(1,(SessionDB!$B$2:$B$64=4)*(SessionDB!$C$2:$C$64=$A4)*((SessionDB!$I$2:$I$64=$E$3)+(SessionDB!$I$2:$I$64="all")),0)),IFERROR(INDEX(SessionDB!$H$2:$H$64,MATCH(1,(SessionDB!$B$2:$B$64=4)*(SessionDB!$C$2:$C$64&lt;$A4)*(SessionDB!$D$2:$D$64&gt;$A4)*((SessionDB!$I$2:$I$64=$E$3)+(SessionDB!$I$2:$I$64="all")),0)),""))</f>
        <v/>
      </c>
    </row>
    <row r="5" ht="33.75" customHeight="1" s="88">
      <c r="A5" s="149" t="inlineStr">
        <is>
          <t>08:30</t>
        </is>
      </c>
      <c r="B5" s="148" t="n"/>
      <c r="C5" s="148" t="n"/>
      <c r="D5" s="148" t="n"/>
      <c r="E5" s="148" t="n"/>
      <c r="F5" s="148" t="n"/>
      <c r="G5" s="139" t="n"/>
      <c r="H5" s="139" t="n"/>
      <c r="I5" s="87">
        <f>IFERROR(INDEX(SessionDB!$H$2:$H$64,MATCH(1,(SessionDB!$B$2:$B$64=4)*(SessionDB!$C$2:$C$64=$A5)*((SessionDB!$I$2:$I$64=$E$3)+(SessionDB!$I$2:$I$64="all")),0)),IFERROR(INDEX(SessionDB!$H$2:$H$64,MATCH(1,(SessionDB!$B$2:$B$64=4)*(SessionDB!$C$2:$C$64&lt;$A5)*(SessionDB!$D$2:$D$64&gt;$A5)*((SessionDB!$I$2:$I$64=$E$3)+(SessionDB!$I$2:$I$64="all")),0)),""))</f>
        <v/>
      </c>
    </row>
    <row r="6" ht="33.75" customHeight="1" s="88">
      <c r="A6" s="147" t="inlineStr">
        <is>
          <t>09:00</t>
        </is>
      </c>
      <c r="B6" s="148" t="n"/>
      <c r="C6" s="152" t="inlineStr">
        <is>
          <t>Coaching Skills
Lead: Mark Torres  •  Room A1</t>
        </is>
      </c>
      <c r="D6" s="153" t="inlineStr">
        <is>
          <t>System Architecture
Lead: David Kim  •  Room B1</t>
        </is>
      </c>
      <c r="E6" s="154" t="inlineStr">
        <is>
          <t>Data Visualization
Lead: Carlos Ruiz  •  Room C1</t>
        </is>
      </c>
      <c r="F6" s="155" t="inlineStr">
        <is>
          <t>Change Management
Lead: James Wright  •  Room D1</t>
        </is>
      </c>
      <c r="G6" s="139" t="n"/>
      <c r="H6" s="139" t="n"/>
      <c r="I6" s="87">
        <f>IFERROR(INDEX(SessionDB!$H$2:$H$64,MATCH(1,(SessionDB!$B$2:$B$64=4)*(SessionDB!$C$2:$C$64=$A6)*((SessionDB!$I$2:$I$64=$E$3)+(SessionDB!$I$2:$I$64="all")),0)),IFERROR(INDEX(SessionDB!$H$2:$H$64,MATCH(1,(SessionDB!$B$2:$B$64=4)*(SessionDB!$C$2:$C$64&lt;$A6)*(SessionDB!$D$2:$D$64&gt;$A6)*((SessionDB!$I$2:$I$64=$E$3)+(SessionDB!$I$2:$I$64="all")),0)),""))</f>
        <v/>
      </c>
    </row>
    <row r="7" ht="33.75" customHeight="1" s="88">
      <c r="A7" s="149" t="inlineStr">
        <is>
          <t>09:30</t>
        </is>
      </c>
      <c r="B7" s="148" t="n"/>
      <c r="C7" s="156" t="n"/>
      <c r="D7" s="157" t="n"/>
      <c r="E7" s="158" t="n"/>
      <c r="F7" s="159" t="n"/>
      <c r="G7" s="139" t="n"/>
      <c r="H7" s="139" t="n"/>
      <c r="I7" s="87">
        <f>IFERROR(INDEX(SessionDB!$H$2:$H$64,MATCH(1,(SessionDB!$B$2:$B$64=4)*(SessionDB!$C$2:$C$64=$A7)*((SessionDB!$I$2:$I$64=$E$3)+(SessionDB!$I$2:$I$64="all")),0)),IFERROR(INDEX(SessionDB!$H$2:$H$64,MATCH(1,(SessionDB!$B$2:$B$64=4)*(SessionDB!$C$2:$C$64&lt;$A7)*(SessionDB!$D$2:$D$64&gt;$A7)*((SessionDB!$I$2:$I$64=$E$3)+(SessionDB!$I$2:$I$64="all")),0)),""))</f>
        <v/>
      </c>
    </row>
    <row r="8" ht="33.75" customHeight="1" s="88">
      <c r="A8" s="147" t="inlineStr">
        <is>
          <t>10:00</t>
        </is>
      </c>
      <c r="B8" s="148" t="n"/>
      <c r="C8" s="160" t="n"/>
      <c r="D8" s="161" t="n"/>
      <c r="E8" s="162" t="n"/>
      <c r="F8" s="163" t="n"/>
      <c r="G8" s="139" t="n"/>
      <c r="H8" s="139" t="n"/>
      <c r="I8" s="87">
        <f>IFERROR(INDEX(SessionDB!$H$2:$H$64,MATCH(1,(SessionDB!$B$2:$B$64=4)*(SessionDB!$C$2:$C$64=$A8)*((SessionDB!$I$2:$I$64=$E$3)+(SessionDB!$I$2:$I$64="all")),0)),IFERROR(INDEX(SessionDB!$H$2:$H$64,MATCH(1,(SessionDB!$B$2:$B$64=4)*(SessionDB!$C$2:$C$64&lt;$A8)*(SessionDB!$D$2:$D$64&gt;$A8)*((SessionDB!$I$2:$I$64=$E$3)+(SessionDB!$I$2:$I$64="all")),0)),""))</f>
        <v/>
      </c>
    </row>
    <row r="9" ht="33.75" customHeight="1" s="88">
      <c r="A9" s="149" t="inlineStr">
        <is>
          <t>10:30</t>
        </is>
      </c>
      <c r="B9" s="166" t="inlineStr">
        <is>
          <t>Morning Break</t>
        </is>
      </c>
      <c r="C9" s="148" t="n"/>
      <c r="D9" s="148" t="n"/>
      <c r="E9" s="148" t="n"/>
      <c r="F9" s="148" t="n"/>
      <c r="G9" s="139" t="n"/>
      <c r="H9" s="139" t="n"/>
      <c r="I9" s="87">
        <f>IFERROR(INDEX(SessionDB!$H$2:$H$64,MATCH(1,(SessionDB!$B$2:$B$64=4)*(SessionDB!$C$2:$C$64=$A9)*((SessionDB!$I$2:$I$64=$E$3)+(SessionDB!$I$2:$I$64="all")),0)),IFERROR(INDEX(SessionDB!$H$2:$H$64,MATCH(1,(SessionDB!$B$2:$B$64=4)*(SessionDB!$C$2:$C$64&lt;$A9)*(SessionDB!$D$2:$D$64&gt;$A9)*((SessionDB!$I$2:$I$64=$E$3)+(SessionDB!$I$2:$I$64="all")),0)),""))</f>
        <v/>
      </c>
    </row>
    <row r="10" ht="33.75" customHeight="1" s="88">
      <c r="A10" s="147" t="inlineStr">
        <is>
          <t>11:00</t>
        </is>
      </c>
      <c r="B10" s="148" t="n"/>
      <c r="C10" s="152" t="inlineStr">
        <is>
          <t>Presentation Mastery
Lead: Tom Bradley  •  Room A1</t>
        </is>
      </c>
      <c r="D10" s="153" t="inlineStr">
        <is>
          <t>Testing Strategies
Lead: Priya Sharma  •  Room B1</t>
        </is>
      </c>
      <c r="E10" s="154" t="inlineStr">
        <is>
          <t>Design Critiques
Lead: Yuki Tanaka  •  Room C1</t>
        </is>
      </c>
      <c r="F10" s="155" t="inlineStr">
        <is>
          <t>Process Automation
Lead: Nina Petrov  •  Room D1</t>
        </is>
      </c>
      <c r="G10" s="139" t="n"/>
      <c r="H10" s="139" t="n"/>
      <c r="I10" s="87">
        <f>IFERROR(INDEX(SessionDB!$H$2:$H$64,MATCH(1,(SessionDB!$B$2:$B$64=4)*(SessionDB!$C$2:$C$64=$A10)*((SessionDB!$I$2:$I$64=$E$3)+(SessionDB!$I$2:$I$64="all")),0)),IFERROR(INDEX(SessionDB!$H$2:$H$64,MATCH(1,(SessionDB!$B$2:$B$64=4)*(SessionDB!$C$2:$C$64&lt;$A10)*(SessionDB!$D$2:$D$64&gt;$A10)*((SessionDB!$I$2:$I$64=$E$3)+(SessionDB!$I$2:$I$64="all")),0)),""))</f>
        <v/>
      </c>
    </row>
    <row r="11" ht="33.75" customHeight="1" s="88">
      <c r="A11" s="149" t="inlineStr">
        <is>
          <t>11:30</t>
        </is>
      </c>
      <c r="B11" s="148" t="n"/>
      <c r="C11" s="156" t="n"/>
      <c r="D11" s="157" t="n"/>
      <c r="E11" s="158" t="n"/>
      <c r="F11" s="159" t="n"/>
      <c r="G11" s="139" t="n"/>
      <c r="H11" s="139" t="n"/>
      <c r="I11" s="87">
        <f>IFERROR(INDEX(SessionDB!$H$2:$H$64,MATCH(1,(SessionDB!$B$2:$B$64=4)*(SessionDB!$C$2:$C$64=$A11)*((SessionDB!$I$2:$I$64=$E$3)+(SessionDB!$I$2:$I$64="all")),0)),IFERROR(INDEX(SessionDB!$H$2:$H$64,MATCH(1,(SessionDB!$B$2:$B$64=4)*(SessionDB!$C$2:$C$64&lt;$A11)*(SessionDB!$D$2:$D$64&gt;$A11)*((SessionDB!$I$2:$I$64=$E$3)+(SessionDB!$I$2:$I$64="all")),0)),""))</f>
        <v/>
      </c>
    </row>
    <row r="12" ht="33.75" customHeight="1" s="88">
      <c r="A12" s="147" t="inlineStr">
        <is>
          <t>12:00</t>
        </is>
      </c>
      <c r="B12" s="148" t="n"/>
      <c r="C12" s="160" t="n"/>
      <c r="D12" s="161" t="n"/>
      <c r="E12" s="162" t="n"/>
      <c r="F12" s="163" t="n"/>
      <c r="G12" s="139" t="n"/>
      <c r="H12" s="139" t="n"/>
      <c r="I12" s="87">
        <f>IFERROR(INDEX(SessionDB!$H$2:$H$64,MATCH(1,(SessionDB!$B$2:$B$64=4)*(SessionDB!$C$2:$C$64=$A12)*((SessionDB!$I$2:$I$64=$E$3)+(SessionDB!$I$2:$I$64="all")),0)),IFERROR(INDEX(SessionDB!$H$2:$H$64,MATCH(1,(SessionDB!$B$2:$B$64=4)*(SessionDB!$C$2:$C$64&lt;$A12)*(SessionDB!$D$2:$D$64&gt;$A12)*((SessionDB!$I$2:$I$64=$E$3)+(SessionDB!$I$2:$I$64="all")),0)),""))</f>
        <v/>
      </c>
    </row>
    <row r="13" ht="33.75" customHeight="1" s="88">
      <c r="A13" s="149" t="inlineStr">
        <is>
          <t>12:30</t>
        </is>
      </c>
      <c r="B13" s="164" t="inlineStr">
        <is>
          <t>Lunch &amp; Networking</t>
        </is>
      </c>
      <c r="C13" s="148" t="n"/>
      <c r="D13" s="148" t="n"/>
      <c r="E13" s="148" t="n"/>
      <c r="F13" s="148" t="n"/>
      <c r="G13" s="139" t="n"/>
      <c r="H13" s="139" t="n"/>
      <c r="I13" s="87">
        <f>IFERROR(INDEX(SessionDB!$H$2:$H$64,MATCH(1,(SessionDB!$B$2:$B$64=4)*(SessionDB!$C$2:$C$64=$A13)*((SessionDB!$I$2:$I$64=$E$3)+(SessionDB!$I$2:$I$64="all")),0)),IFERROR(INDEX(SessionDB!$H$2:$H$64,MATCH(1,(SessionDB!$B$2:$B$64=4)*(SessionDB!$C$2:$C$64&lt;$A13)*(SessionDB!$D$2:$D$64&gt;$A13)*((SessionDB!$I$2:$I$64=$E$3)+(SessionDB!$I$2:$I$64="all")),0)),""))</f>
        <v/>
      </c>
    </row>
    <row r="14" ht="33.75" customHeight="1" s="88">
      <c r="A14" s="147" t="inlineStr">
        <is>
          <t>13:00</t>
        </is>
      </c>
      <c r="B14" s="165" t="n"/>
      <c r="C14" s="148" t="n"/>
      <c r="D14" s="148" t="n"/>
      <c r="E14" s="148" t="n"/>
      <c r="F14" s="148" t="n"/>
      <c r="G14" s="139" t="n"/>
      <c r="H14" s="139" t="n"/>
      <c r="I14" s="87">
        <f>IFERROR(INDEX(SessionDB!$H$2:$H$64,MATCH(1,(SessionDB!$B$2:$B$64=4)*(SessionDB!$C$2:$C$64=$A14)*((SessionDB!$I$2:$I$64=$E$3)+(SessionDB!$I$2:$I$64="all")),0)),IFERROR(INDEX(SessionDB!$H$2:$H$64,MATCH(1,(SessionDB!$B$2:$B$64=4)*(SessionDB!$C$2:$C$64&lt;$A14)*(SessionDB!$D$2:$D$64&gt;$A14)*((SessionDB!$I$2:$I$64=$E$3)+(SessionDB!$I$2:$I$64="all")),0)),""))</f>
        <v/>
      </c>
    </row>
    <row r="15" ht="33.75" customHeight="1" s="88">
      <c r="A15" s="149" t="inlineStr">
        <is>
          <t>13:30</t>
        </is>
      </c>
      <c r="B15" s="148" t="n"/>
      <c r="C15" s="152" t="inlineStr">
        <is>
          <t>Succession Planning
Lead: Aisha Johnson  •  Room A1</t>
        </is>
      </c>
      <c r="D15" s="153" t="inlineStr">
        <is>
          <t>Code Review Culture
Lead: Alex Novak  •  Room B1</t>
        </is>
      </c>
      <c r="E15" s="154" t="inlineStr">
        <is>
          <t>Design Handoff
Lead: Lena Müller  •  Room C1</t>
        </is>
      </c>
      <c r="F15" s="155" t="inlineStr">
        <is>
          <t>KPI Dashboards
Lead: Rachel Green  •  Room D1</t>
        </is>
      </c>
      <c r="G15" s="139" t="n"/>
      <c r="H15" s="139" t="n"/>
      <c r="I15" s="87">
        <f>IFERROR(INDEX(SessionDB!$H$2:$H$64,MATCH(1,(SessionDB!$B$2:$B$64=4)*(SessionDB!$C$2:$C$64=$A15)*((SessionDB!$I$2:$I$64=$E$3)+(SessionDB!$I$2:$I$64="all")),0)),IFERROR(INDEX(SessionDB!$H$2:$H$64,MATCH(1,(SessionDB!$B$2:$B$64=4)*(SessionDB!$C$2:$C$64&lt;$A15)*(SessionDB!$D$2:$D$64&gt;$A15)*((SessionDB!$I$2:$I$64=$E$3)+(SessionDB!$I$2:$I$64="all")),0)),""))</f>
        <v/>
      </c>
    </row>
    <row r="16" ht="33.75" customHeight="1" s="88">
      <c r="A16" s="147" t="inlineStr">
        <is>
          <t>14:00</t>
        </is>
      </c>
      <c r="B16" s="148" t="n"/>
      <c r="C16" s="156" t="n"/>
      <c r="D16" s="157" t="n"/>
      <c r="E16" s="158" t="n"/>
      <c r="F16" s="159" t="n"/>
      <c r="G16" s="139" t="n"/>
      <c r="H16" s="139" t="n"/>
      <c r="I16" s="87">
        <f>IFERROR(INDEX(SessionDB!$H$2:$H$64,MATCH(1,(SessionDB!$B$2:$B$64=4)*(SessionDB!$C$2:$C$64=$A16)*((SessionDB!$I$2:$I$64=$E$3)+(SessionDB!$I$2:$I$64="all")),0)),IFERROR(INDEX(SessionDB!$H$2:$H$64,MATCH(1,(SessionDB!$B$2:$B$64=4)*(SessionDB!$C$2:$C$64&lt;$A16)*(SessionDB!$D$2:$D$64&gt;$A16)*((SessionDB!$I$2:$I$64=$E$3)+(SessionDB!$I$2:$I$64="all")),0)),""))</f>
        <v/>
      </c>
    </row>
    <row r="17" ht="33.75" customHeight="1" s="88">
      <c r="A17" s="149" t="inlineStr">
        <is>
          <t>14:30</t>
        </is>
      </c>
      <c r="B17" s="148" t="n"/>
      <c r="C17" s="160" t="n"/>
      <c r="D17" s="161" t="n"/>
      <c r="E17" s="162" t="n"/>
      <c r="F17" s="163" t="n"/>
      <c r="G17" s="139" t="n"/>
      <c r="H17" s="139" t="n"/>
      <c r="I17" s="87">
        <f>IFERROR(INDEX(SessionDB!$H$2:$H$64,MATCH(1,(SessionDB!$B$2:$B$64=4)*(SessionDB!$C$2:$C$64=$A17)*((SessionDB!$I$2:$I$64=$E$3)+(SessionDB!$I$2:$I$64="all")),0)),IFERROR(INDEX(SessionDB!$H$2:$H$64,MATCH(1,(SessionDB!$B$2:$B$64=4)*(SessionDB!$C$2:$C$64&lt;$A17)*(SessionDB!$D$2:$D$64&gt;$A17)*((SessionDB!$I$2:$I$64=$E$3)+(SessionDB!$I$2:$I$64="all")),0)),""))</f>
        <v/>
      </c>
    </row>
    <row r="18" ht="33.75" customHeight="1" s="88">
      <c r="A18" s="147" t="inlineStr">
        <is>
          <t>15:00</t>
        </is>
      </c>
      <c r="B18" s="166" t="inlineStr">
        <is>
          <t>Afternoon Break</t>
        </is>
      </c>
      <c r="C18" s="148" t="n"/>
      <c r="D18" s="148" t="n"/>
      <c r="E18" s="148" t="n"/>
      <c r="F18" s="148" t="n"/>
      <c r="G18" s="139" t="n"/>
      <c r="H18" s="139" t="n"/>
      <c r="I18" s="87">
        <f>IFERROR(INDEX(SessionDB!$H$2:$H$64,MATCH(1,(SessionDB!$B$2:$B$64=4)*(SessionDB!$C$2:$C$64=$A18)*((SessionDB!$I$2:$I$64=$E$3)+(SessionDB!$I$2:$I$64="all")),0)),IFERROR(INDEX(SessionDB!$H$2:$H$64,MATCH(1,(SessionDB!$B$2:$B$64=4)*(SessionDB!$C$2:$C$64&lt;$A18)*(SessionDB!$D$2:$D$64&gt;$A18)*((SessionDB!$I$2:$I$64=$E$3)+(SessionDB!$I$2:$I$64="all")),0)),""))</f>
        <v/>
      </c>
    </row>
    <row r="19" ht="33.75" customHeight="1" s="88">
      <c r="A19" s="149" t="inlineStr">
        <is>
          <t>15:30</t>
        </is>
      </c>
      <c r="B19" s="150" t="inlineStr">
        <is>
          <t>Hackathon Presentations
Lead: Selected Teams  •  Main Hall</t>
        </is>
      </c>
      <c r="C19" s="148" t="n"/>
      <c r="D19" s="148" t="n"/>
      <c r="E19" s="148" t="n"/>
      <c r="F19" s="148" t="n"/>
      <c r="G19" s="139" t="n"/>
      <c r="H19" s="139" t="n"/>
      <c r="I19" s="87">
        <f>IFERROR(INDEX(SessionDB!$H$2:$H$64,MATCH(1,(SessionDB!$B$2:$B$64=4)*(SessionDB!$C$2:$C$64=$A19)*((SessionDB!$I$2:$I$64=$E$3)+(SessionDB!$I$2:$I$64="all")),0)),IFERROR(INDEX(SessionDB!$H$2:$H$64,MATCH(1,(SessionDB!$B$2:$B$64=4)*(SessionDB!$C$2:$C$64&lt;$A19)*(SessionDB!$D$2:$D$64&gt;$A19)*((SessionDB!$I$2:$I$64=$E$3)+(SessionDB!$I$2:$I$64="all")),0)),""))</f>
        <v/>
      </c>
    </row>
    <row r="20" ht="33.75" customHeight="1" s="88">
      <c r="A20" s="147" t="inlineStr">
        <is>
          <t>16:00</t>
        </is>
      </c>
      <c r="B20" s="168" t="n"/>
      <c r="C20" s="148" t="n"/>
      <c r="D20" s="148" t="n"/>
      <c r="E20" s="148" t="n"/>
      <c r="F20" s="148" t="n"/>
      <c r="G20" s="139" t="n"/>
      <c r="H20" s="139" t="n"/>
      <c r="I20" s="87">
        <f>IFERROR(INDEX(SessionDB!$H$2:$H$64,MATCH(1,(SessionDB!$B$2:$B$64=4)*(SessionDB!$C$2:$C$64=$A20)*((SessionDB!$I$2:$I$64=$E$3)+(SessionDB!$I$2:$I$64="all")),0)),IFERROR(INDEX(SessionDB!$H$2:$H$64,MATCH(1,(SessionDB!$B$2:$B$64=4)*(SessionDB!$C$2:$C$64&lt;$A20)*(SessionDB!$D$2:$D$64&gt;$A20)*((SessionDB!$I$2:$I$64=$E$3)+(SessionDB!$I$2:$I$64="all")),0)),""))</f>
        <v/>
      </c>
    </row>
    <row r="21" ht="33.75" customHeight="1" s="88">
      <c r="A21" s="149" t="inlineStr">
        <is>
          <t>16:30</t>
        </is>
      </c>
      <c r="B21" s="151" t="n"/>
      <c r="C21" s="148" t="n"/>
      <c r="D21" s="148" t="n"/>
      <c r="E21" s="148" t="n"/>
      <c r="F21" s="148" t="n"/>
      <c r="G21" s="139" t="n"/>
      <c r="H21" s="139" t="n"/>
      <c r="I21" s="87">
        <f>IFERROR(INDEX(SessionDB!$H$2:$H$64,MATCH(1,(SessionDB!$B$2:$B$64=4)*(SessionDB!$C$2:$C$64=$A21)*((SessionDB!$I$2:$I$64=$E$3)+(SessionDB!$I$2:$I$64="all")),0)),IFERROR(INDEX(SessionDB!$H$2:$H$64,MATCH(1,(SessionDB!$B$2:$B$64=4)*(SessionDB!$C$2:$C$64&lt;$A21)*(SessionDB!$D$2:$D$64&gt;$A21)*((SessionDB!$I$2:$I$64=$E$3)+(SessionDB!$I$2:$I$64="all")),0)),""))</f>
        <v/>
      </c>
    </row>
    <row r="22" ht="33.75" customHeight="1" s="88">
      <c r="A22" s="147" t="inlineStr">
        <is>
          <t>17:00</t>
        </is>
      </c>
      <c r="B22" s="148" t="n"/>
      <c r="C22" s="148" t="n"/>
      <c r="D22" s="148" t="n"/>
      <c r="E22" s="148" t="n"/>
      <c r="F22" s="148" t="n"/>
      <c r="G22" s="139" t="n"/>
      <c r="H22" s="139" t="n"/>
      <c r="I22" s="87">
        <f>IFERROR(INDEX(SessionDB!$H$2:$H$64,MATCH(1,(SessionDB!$B$2:$B$64=4)*(SessionDB!$C$2:$C$64=$A22)*((SessionDB!$I$2:$I$64=$E$3)+(SessionDB!$I$2:$I$64="all")),0)),IFERROR(INDEX(SessionDB!$H$2:$H$64,MATCH(1,(SessionDB!$B$2:$B$64=4)*(SessionDB!$C$2:$C$64&lt;$A22)*(SessionDB!$D$2:$D$64&gt;$A22)*((SessionDB!$I$2:$I$64=$E$3)+(SessionDB!$I$2:$I$64="all")),0)),""))</f>
        <v/>
      </c>
    </row>
    <row r="23" ht="33.75" customHeight="1" s="88">
      <c r="A23" s="149" t="inlineStr">
        <is>
          <t>17:30</t>
        </is>
      </c>
      <c r="B23" s="148" t="n"/>
      <c r="C23" s="148" t="n"/>
      <c r="D23" s="148" t="n"/>
      <c r="E23" s="148" t="n"/>
      <c r="F23" s="148" t="n"/>
      <c r="G23" s="139" t="n"/>
      <c r="H23" s="139" t="n"/>
      <c r="I23" s="87">
        <f>IFERROR(INDEX(SessionDB!$H$2:$H$64,MATCH(1,(SessionDB!$B$2:$B$64=4)*(SessionDB!$C$2:$C$64=$A23)*((SessionDB!$I$2:$I$64=$E$3)+(SessionDB!$I$2:$I$64="all")),0)),IFERROR(INDEX(SessionDB!$H$2:$H$64,MATCH(1,(SessionDB!$B$2:$B$64=4)*(SessionDB!$C$2:$C$64&lt;$A23)*(SessionDB!$D$2:$D$64&gt;$A23)*((SessionDB!$I$2:$I$64=$E$3)+(SessionDB!$I$2:$I$64="all")),0)),""))</f>
        <v/>
      </c>
    </row>
    <row r="24" ht="15" customHeight="1" s="88">
      <c r="A24" s="139" t="n"/>
      <c r="B24" s="139" t="n"/>
      <c r="C24" s="139" t="n"/>
      <c r="D24" s="139" t="n"/>
      <c r="E24" s="139" t="n"/>
      <c r="F24" s="139" t="n"/>
      <c r="G24" s="139" t="n"/>
      <c r="H24" s="139" t="n"/>
    </row>
    <row r="25" ht="36" customHeight="1" s="88">
      <c r="A25" s="167" t="inlineStr">
        <is>
          <t>Tracks: Overall, Leadership, Technical, Design Thinking, Operations  |  Generated: 08 Mar 2026 13:00</t>
        </is>
      </c>
      <c r="G25" s="139" t="n"/>
      <c r="H25" s="139" t="n"/>
    </row>
  </sheetData>
  <mergeCells count="17">
    <mergeCell ref="A2:F2"/>
    <mergeCell ref="D15:D17"/>
    <mergeCell ref="C15:C17"/>
    <mergeCell ref="B13:B14"/>
    <mergeCell ref="F10:F12"/>
    <mergeCell ref="A1:F1"/>
    <mergeCell ref="C6:C8"/>
    <mergeCell ref="E10:E12"/>
    <mergeCell ref="E15:E17"/>
    <mergeCell ref="F15:F17"/>
    <mergeCell ref="B19:B21"/>
    <mergeCell ref="C10:C12"/>
    <mergeCell ref="E6:E8"/>
    <mergeCell ref="D10:D12"/>
    <mergeCell ref="D6:D8"/>
    <mergeCell ref="A25:F25"/>
    <mergeCell ref="F6:F8"/>
  </mergeCells>
  <conditionalFormatting sqref="B4:B23">
    <cfRule type="expression" rank="0" priority="2" equalAverage="0" aboveAverage="0" dxfId="22" text="" percent="0" bottom="0">
      <formula>F4="Leadership"</formula>
    </cfRule>
    <cfRule type="expression" rank="0" priority="3" equalAverage="0" aboveAverage="0" dxfId="23" text="" percent="0" bottom="0">
      <formula>F4="Technical"</formula>
    </cfRule>
    <cfRule type="expression" rank="0" priority="4" equalAverage="0" aboveAverage="0" dxfId="24" text="" percent="0" bottom="0">
      <formula>F4="Design Thinking"</formula>
    </cfRule>
    <cfRule type="expression" rank="0" priority="5" equalAverage="0" aboveAverage="0" dxfId="25" text="" percent="0" bottom="0">
      <formula>F4="Operations"</formula>
    </cfRule>
    <cfRule type="expression" rank="0" priority="6" equalAverage="0" aboveAverage="0" dxfId="26" text="" percent="0" bottom="0">
      <formula>F4="Keynote"</formula>
    </cfRule>
    <cfRule type="expression" rank="0" priority="7" equalAverage="0" aboveAverage="0" dxfId="27" text="" percent="0" bottom="0">
      <formula>F4="Break"</formula>
    </cfRule>
  </conditionalFormatting>
  <conditionalFormatting sqref="C4:C23">
    <cfRule type="expression" rank="0" priority="8" equalAverage="0" aboveAverage="0" dxfId="22" text="" percent="0" bottom="0">
      <formula>G4="Leadership"</formula>
    </cfRule>
    <cfRule type="expression" rank="0" priority="9" equalAverage="0" aboveAverage="0" dxfId="23" text="" percent="0" bottom="0">
      <formula>G4="Technical"</formula>
    </cfRule>
    <cfRule type="expression" rank="0" priority="10" equalAverage="0" aboveAverage="0" dxfId="24" text="" percent="0" bottom="0">
      <formula>G4="Design Thinking"</formula>
    </cfRule>
    <cfRule type="expression" rank="0" priority="11" equalAverage="0" aboveAverage="0" dxfId="25" text="" percent="0" bottom="0">
      <formula>G4="Operations"</formula>
    </cfRule>
    <cfRule type="expression" rank="0" priority="12" equalAverage="0" aboveAverage="0" dxfId="26" text="" percent="0" bottom="0">
      <formula>G4="Keynote"</formula>
    </cfRule>
    <cfRule type="expression" rank="0" priority="13" equalAverage="0" aboveAverage="0" dxfId="27" text="" percent="0" bottom="0">
      <formula>G4="Break"</formula>
    </cfRule>
  </conditionalFormatting>
  <conditionalFormatting sqref="D4:D23">
    <cfRule type="expression" rank="0" priority="14" equalAverage="0" aboveAverage="0" dxfId="22" text="" percent="0" bottom="0">
      <formula>H4="Leadership"</formula>
    </cfRule>
    <cfRule type="expression" rank="0" priority="15" equalAverage="0" aboveAverage="0" dxfId="23" text="" percent="0" bottom="0">
      <formula>H4="Technical"</formula>
    </cfRule>
    <cfRule type="expression" rank="0" priority="16" equalAverage="0" aboveAverage="0" dxfId="24" text="" percent="0" bottom="0">
      <formula>H4="Design Thinking"</formula>
    </cfRule>
    <cfRule type="expression" rank="0" priority="17" equalAverage="0" aboveAverage="0" dxfId="25" text="" percent="0" bottom="0">
      <formula>H4="Operations"</formula>
    </cfRule>
    <cfRule type="expression" rank="0" priority="18" equalAverage="0" aboveAverage="0" dxfId="26" text="" percent="0" bottom="0">
      <formula>H4="Keynote"</formula>
    </cfRule>
    <cfRule type="expression" rank="0" priority="19" equalAverage="0" aboveAverage="0" dxfId="27" text="" percent="0" bottom="0">
      <formula>H4="Break"</formula>
    </cfRule>
  </conditionalFormatting>
  <conditionalFormatting sqref="E4:E23">
    <cfRule type="expression" rank="0" priority="20" equalAverage="0" aboveAverage="0" dxfId="22" text="" percent="0" bottom="0">
      <formula>I4="Leadership"</formula>
    </cfRule>
    <cfRule type="expression" rank="0" priority="21" equalAverage="0" aboveAverage="0" dxfId="23" text="" percent="0" bottom="0">
      <formula>I4="Technical"</formula>
    </cfRule>
    <cfRule type="expression" rank="0" priority="22" equalAverage="0" aboveAverage="0" dxfId="24" text="" percent="0" bottom="0">
      <formula>I4="Design Thinking"</formula>
    </cfRule>
    <cfRule type="expression" rank="0" priority="23" equalAverage="0" aboveAverage="0" dxfId="25" text="" percent="0" bottom="0">
      <formula>I4="Operations"</formula>
    </cfRule>
    <cfRule type="expression" rank="0" priority="24" equalAverage="0" aboveAverage="0" dxfId="26" text="" percent="0" bottom="0">
      <formula>I4="Keynote"</formula>
    </cfRule>
    <cfRule type="expression" rank="0" priority="25" equalAverage="0" aboveAverage="0" dxfId="27" text="" percent="0" bottom="0">
      <formula>I4="Break"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2563EB"/>
    <outlinePr summaryBelow="1" summaryRight="1"/>
    <pageSetUpPr fitToPage="1"/>
  </sheetPr>
  <dimension ref="A1:I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87" min="1" max="1"/>
    <col width="28" customWidth="1" style="87" min="2" max="5"/>
    <col hidden="1" width="2" customWidth="1" style="87" min="6" max="9"/>
  </cols>
  <sheetData>
    <row r="1" ht="42" customHeight="1" s="88">
      <c r="A1" s="108" t="inlineStr">
        <is>
          <t>DAY 5: Fri Mar 13</t>
        </is>
      </c>
      <c r="G1" s="139" t="n"/>
      <c r="H1" s="139" t="n"/>
    </row>
    <row r="2" ht="24" customHeight="1" s="88">
      <c r="A2" s="140" t="inlineStr">
        <is>
          <t>REFRESHED: 08 Mar 2026 13:00  |  4 tracks + Overall  |  Workshop 2026</t>
        </is>
      </c>
      <c r="G2" s="139" t="n"/>
      <c r="H2" s="139" t="n"/>
    </row>
    <row r="3" ht="31.5" customHeight="1" s="88">
      <c r="A3" s="141" t="inlineStr">
        <is>
          <t>TIME</t>
        </is>
      </c>
      <c r="B3" s="142" t="inlineStr">
        <is>
          <t>OVERALL</t>
        </is>
      </c>
      <c r="C3" s="143" t="inlineStr">
        <is>
          <t>LEADERSHIP</t>
        </is>
      </c>
      <c r="D3" s="144" t="inlineStr">
        <is>
          <t>TECHNICAL</t>
        </is>
      </c>
      <c r="E3" s="145" t="inlineStr">
        <is>
          <t>DESIGN THINKING</t>
        </is>
      </c>
      <c r="F3" s="146" t="inlineStr">
        <is>
          <t>OPERATIONS</t>
        </is>
      </c>
      <c r="G3" s="139" t="n"/>
      <c r="H3" s="139" t="n"/>
    </row>
    <row r="4" ht="33.75" customHeight="1" s="88">
      <c r="A4" s="147" t="inlineStr">
        <is>
          <t>08:00</t>
        </is>
      </c>
      <c r="B4" s="148" t="n"/>
      <c r="C4" s="148" t="n"/>
      <c r="D4" s="148" t="n"/>
      <c r="E4" s="148" t="n"/>
      <c r="F4" s="148" t="n"/>
      <c r="G4" s="139" t="n"/>
      <c r="H4" s="139" t="n"/>
      <c r="I4" s="87">
        <f>IFERROR(INDEX(SessionDB!$H$2:$H$64,MATCH(1,(SessionDB!$B$2:$B$64=5)*(SessionDB!$C$2:$C$64=$A4)*((SessionDB!$I$2:$I$64=$E$3)+(SessionDB!$I$2:$I$64="all")),0)),IFERROR(INDEX(SessionDB!$H$2:$H$64,MATCH(1,(SessionDB!$B$2:$B$64=5)*(SessionDB!$C$2:$C$64&lt;$A4)*(SessionDB!$D$2:$D$64&gt;$A4)*((SessionDB!$I$2:$I$64=$E$3)+(SessionDB!$I$2:$I$64="all")),0)),""))</f>
        <v/>
      </c>
    </row>
    <row r="5" ht="33.75" customHeight="1" s="88">
      <c r="A5" s="149" t="inlineStr">
        <is>
          <t>08:30</t>
        </is>
      </c>
      <c r="B5" s="148" t="n"/>
      <c r="C5" s="148" t="n"/>
      <c r="D5" s="148" t="n"/>
      <c r="E5" s="148" t="n"/>
      <c r="F5" s="148" t="n"/>
      <c r="G5" s="139" t="n"/>
      <c r="H5" s="139" t="n"/>
      <c r="I5" s="87">
        <f>IFERROR(INDEX(SessionDB!$H$2:$H$64,MATCH(1,(SessionDB!$B$2:$B$64=5)*(SessionDB!$C$2:$C$64=$A5)*((SessionDB!$I$2:$I$64=$E$3)+(SessionDB!$I$2:$I$64="all")),0)),IFERROR(INDEX(SessionDB!$H$2:$H$64,MATCH(1,(SessionDB!$B$2:$B$64=5)*(SessionDB!$C$2:$C$64&lt;$A5)*(SessionDB!$D$2:$D$64&gt;$A5)*((SessionDB!$I$2:$I$64=$E$3)+(SessionDB!$I$2:$I$64="all")),0)),""))</f>
        <v/>
      </c>
    </row>
    <row r="6" ht="33.75" customHeight="1" s="88">
      <c r="A6" s="147" t="inlineStr">
        <is>
          <t>09:00</t>
        </is>
      </c>
      <c r="B6" s="148" t="n"/>
      <c r="C6" s="152" t="inlineStr">
        <is>
          <t>Personal Action Plans
Lead: Mark Torres  •  Room A1</t>
        </is>
      </c>
      <c r="D6" s="153" t="inlineStr">
        <is>
          <t>Tech Roadmapping
Lead: David Kim  •  Room B1</t>
        </is>
      </c>
      <c r="E6" s="154" t="inlineStr">
        <is>
          <t>Portfolio Building
Lead: Carlos Ruiz  •  Room C1</t>
        </is>
      </c>
      <c r="F6" s="155" t="inlineStr">
        <is>
          <t>Continuous Improvement
Lead: James Wright  •  Room D1</t>
        </is>
      </c>
      <c r="G6" s="139" t="n"/>
      <c r="H6" s="139" t="n"/>
      <c r="I6" s="87">
        <f>IFERROR(INDEX(SessionDB!$H$2:$H$64,MATCH(1,(SessionDB!$B$2:$B$64=5)*(SessionDB!$C$2:$C$64=$A6)*((SessionDB!$I$2:$I$64=$E$3)+(SessionDB!$I$2:$I$64="all")),0)),IFERROR(INDEX(SessionDB!$H$2:$H$64,MATCH(1,(SessionDB!$B$2:$B$64=5)*(SessionDB!$C$2:$C$64&lt;$A6)*(SessionDB!$D$2:$D$64&gt;$A6)*((SessionDB!$I$2:$I$64=$E$3)+(SessionDB!$I$2:$I$64="all")),0)),""))</f>
        <v/>
      </c>
    </row>
    <row r="7" ht="33.75" customHeight="1" s="88">
      <c r="A7" s="149" t="inlineStr">
        <is>
          <t>09:30</t>
        </is>
      </c>
      <c r="B7" s="148" t="n"/>
      <c r="C7" s="156" t="n"/>
      <c r="D7" s="157" t="n"/>
      <c r="E7" s="158" t="n"/>
      <c r="F7" s="159" t="n"/>
      <c r="G7" s="139" t="n"/>
      <c r="H7" s="139" t="n"/>
      <c r="I7" s="87">
        <f>IFERROR(INDEX(SessionDB!$H$2:$H$64,MATCH(1,(SessionDB!$B$2:$B$64=5)*(SessionDB!$C$2:$C$64=$A7)*((SessionDB!$I$2:$I$64=$E$3)+(SessionDB!$I$2:$I$64="all")),0)),IFERROR(INDEX(SessionDB!$H$2:$H$64,MATCH(1,(SessionDB!$B$2:$B$64=5)*(SessionDB!$C$2:$C$64&lt;$A7)*(SessionDB!$D$2:$D$64&gt;$A7)*((SessionDB!$I$2:$I$64=$E$3)+(SessionDB!$I$2:$I$64="all")),0)),""))</f>
        <v/>
      </c>
    </row>
    <row r="8" ht="33.75" customHeight="1" s="88">
      <c r="A8" s="147" t="inlineStr">
        <is>
          <t>10:00</t>
        </is>
      </c>
      <c r="B8" s="148" t="n"/>
      <c r="C8" s="160" t="n"/>
      <c r="D8" s="161" t="n"/>
      <c r="E8" s="162" t="n"/>
      <c r="F8" s="163" t="n"/>
      <c r="G8" s="139" t="n"/>
      <c r="H8" s="139" t="n"/>
      <c r="I8" s="87">
        <f>IFERROR(INDEX(SessionDB!$H$2:$H$64,MATCH(1,(SessionDB!$B$2:$B$64=5)*(SessionDB!$C$2:$C$64=$A8)*((SessionDB!$I$2:$I$64=$E$3)+(SessionDB!$I$2:$I$64="all")),0)),IFERROR(INDEX(SessionDB!$H$2:$H$64,MATCH(1,(SessionDB!$B$2:$B$64=5)*(SessionDB!$C$2:$C$64&lt;$A8)*(SessionDB!$D$2:$D$64&gt;$A8)*((SessionDB!$I$2:$I$64=$E$3)+(SessionDB!$I$2:$I$64="all")),0)),""))</f>
        <v/>
      </c>
    </row>
    <row r="9" ht="33.75" customHeight="1" s="88">
      <c r="A9" s="149" t="inlineStr">
        <is>
          <t>10:30</t>
        </is>
      </c>
      <c r="B9" s="166" t="inlineStr">
        <is>
          <t>Morning Break</t>
        </is>
      </c>
      <c r="C9" s="148" t="n"/>
      <c r="D9" s="148" t="n"/>
      <c r="E9" s="148" t="n"/>
      <c r="F9" s="148" t="n"/>
      <c r="G9" s="139" t="n"/>
      <c r="H9" s="139" t="n"/>
      <c r="I9" s="87">
        <f>IFERROR(INDEX(SessionDB!$H$2:$H$64,MATCH(1,(SessionDB!$B$2:$B$64=5)*(SessionDB!$C$2:$C$64=$A9)*((SessionDB!$I$2:$I$64=$E$3)+(SessionDB!$I$2:$I$64="all")),0)),IFERROR(INDEX(SessionDB!$H$2:$H$64,MATCH(1,(SessionDB!$B$2:$B$64=5)*(SessionDB!$C$2:$C$64&lt;$A9)*(SessionDB!$D$2:$D$64&gt;$A9)*((SessionDB!$I$2:$I$64=$E$3)+(SessionDB!$I$2:$I$64="all")),0)),""))</f>
        <v/>
      </c>
    </row>
    <row r="10" ht="33.75" customHeight="1" s="88">
      <c r="A10" s="147" t="inlineStr">
        <is>
          <t>11:00</t>
        </is>
      </c>
      <c r="B10" s="150" t="inlineStr">
        <is>
          <t>Track Showcases
Lead: Track Leads  •  Main Hall</t>
        </is>
      </c>
      <c r="C10" s="148" t="n"/>
      <c r="D10" s="148" t="n"/>
      <c r="E10" s="148" t="n"/>
      <c r="F10" s="148" t="n"/>
      <c r="G10" s="139" t="n"/>
      <c r="H10" s="139" t="n"/>
      <c r="I10" s="87">
        <f>IFERROR(INDEX(SessionDB!$H$2:$H$64,MATCH(1,(SessionDB!$B$2:$B$64=5)*(SessionDB!$C$2:$C$64=$A10)*((SessionDB!$I$2:$I$64=$E$3)+(SessionDB!$I$2:$I$64="all")),0)),IFERROR(INDEX(SessionDB!$H$2:$H$64,MATCH(1,(SessionDB!$B$2:$B$64=5)*(SessionDB!$C$2:$C$64&lt;$A10)*(SessionDB!$D$2:$D$64&gt;$A10)*((SessionDB!$I$2:$I$64=$E$3)+(SessionDB!$I$2:$I$64="all")),0)),""))</f>
        <v/>
      </c>
    </row>
    <row r="11" ht="33.75" customHeight="1" s="88">
      <c r="A11" s="149" t="inlineStr">
        <is>
          <t>11:30</t>
        </is>
      </c>
      <c r="B11" s="151" t="n"/>
      <c r="C11" s="148" t="n"/>
      <c r="D11" s="148" t="n"/>
      <c r="E11" s="148" t="n"/>
      <c r="F11" s="148" t="n"/>
      <c r="G11" s="139" t="n"/>
      <c r="H11" s="139" t="n"/>
      <c r="I11" s="87">
        <f>IFERROR(INDEX(SessionDB!$H$2:$H$64,MATCH(1,(SessionDB!$B$2:$B$64=5)*(SessionDB!$C$2:$C$64=$A11)*((SessionDB!$I$2:$I$64=$E$3)+(SessionDB!$I$2:$I$64="all")),0)),IFERROR(INDEX(SessionDB!$H$2:$H$64,MATCH(1,(SessionDB!$B$2:$B$64=5)*(SessionDB!$C$2:$C$64&lt;$A11)*(SessionDB!$D$2:$D$64&gt;$A11)*((SessionDB!$I$2:$I$64=$E$3)+(SessionDB!$I$2:$I$64="all")),0)),""))</f>
        <v/>
      </c>
    </row>
    <row r="12" ht="33.75" customHeight="1" s="88">
      <c r="A12" s="147" t="inlineStr">
        <is>
          <t>12:00</t>
        </is>
      </c>
      <c r="B12" s="164" t="inlineStr">
        <is>
          <t>Farewell Lunch</t>
        </is>
      </c>
      <c r="C12" s="148" t="n"/>
      <c r="D12" s="148" t="n"/>
      <c r="E12" s="148" t="n"/>
      <c r="F12" s="148" t="n"/>
      <c r="G12" s="139" t="n"/>
      <c r="H12" s="139" t="n"/>
      <c r="I12" s="87">
        <f>IFERROR(INDEX(SessionDB!$H$2:$H$64,MATCH(1,(SessionDB!$B$2:$B$64=5)*(SessionDB!$C$2:$C$64=$A12)*((SessionDB!$I$2:$I$64=$E$3)+(SessionDB!$I$2:$I$64="all")),0)),IFERROR(INDEX(SessionDB!$H$2:$H$64,MATCH(1,(SessionDB!$B$2:$B$64=5)*(SessionDB!$C$2:$C$64&lt;$A12)*(SessionDB!$D$2:$D$64&gt;$A12)*((SessionDB!$I$2:$I$64=$E$3)+(SessionDB!$I$2:$I$64="all")),0)),""))</f>
        <v/>
      </c>
    </row>
    <row r="13" ht="33.75" customHeight="1" s="88">
      <c r="A13" s="149" t="inlineStr">
        <is>
          <t>12:30</t>
        </is>
      </c>
      <c r="B13" s="165" t="n"/>
      <c r="C13" s="148" t="n"/>
      <c r="D13" s="148" t="n"/>
      <c r="E13" s="148" t="n"/>
      <c r="F13" s="148" t="n"/>
      <c r="G13" s="139" t="n"/>
      <c r="H13" s="139" t="n"/>
      <c r="I13" s="87">
        <f>IFERROR(INDEX(SessionDB!$H$2:$H$64,MATCH(1,(SessionDB!$B$2:$B$64=5)*(SessionDB!$C$2:$C$64=$A13)*((SessionDB!$I$2:$I$64=$E$3)+(SessionDB!$I$2:$I$64="all")),0)),IFERROR(INDEX(SessionDB!$H$2:$H$64,MATCH(1,(SessionDB!$B$2:$B$64=5)*(SessionDB!$C$2:$C$64&lt;$A13)*(SessionDB!$D$2:$D$64&gt;$A13)*((SessionDB!$I$2:$I$64=$E$3)+(SessionDB!$I$2:$I$64="all")),0)),""))</f>
        <v/>
      </c>
    </row>
    <row r="14" ht="33.75" customHeight="1" s="88">
      <c r="A14" s="147" t="inlineStr">
        <is>
          <t>13:00</t>
        </is>
      </c>
      <c r="B14" s="150" t="inlineStr">
        <is>
          <t>Closing Keynote &amp; Awards
Lead: Dr. Sarah Chen  •  Main Hall</t>
        </is>
      </c>
      <c r="C14" s="148" t="n"/>
      <c r="D14" s="148" t="n"/>
      <c r="E14" s="148" t="n"/>
      <c r="F14" s="148" t="n"/>
      <c r="G14" s="139" t="n"/>
      <c r="H14" s="139" t="n"/>
      <c r="I14" s="87">
        <f>IFERROR(INDEX(SessionDB!$H$2:$H$64,MATCH(1,(SessionDB!$B$2:$B$64=5)*(SessionDB!$C$2:$C$64=$A14)*((SessionDB!$I$2:$I$64=$E$3)+(SessionDB!$I$2:$I$64="all")),0)),IFERROR(INDEX(SessionDB!$H$2:$H$64,MATCH(1,(SessionDB!$B$2:$B$64=5)*(SessionDB!$C$2:$C$64&lt;$A14)*(SessionDB!$D$2:$D$64&gt;$A14)*((SessionDB!$I$2:$I$64=$E$3)+(SessionDB!$I$2:$I$64="all")),0)),""))</f>
        <v/>
      </c>
    </row>
    <row r="15" ht="33.75" customHeight="1" s="88">
      <c r="A15" s="149" t="inlineStr">
        <is>
          <t>13:30</t>
        </is>
      </c>
      <c r="B15" s="151" t="n"/>
      <c r="C15" s="148" t="n"/>
      <c r="D15" s="148" t="n"/>
      <c r="E15" s="148" t="n"/>
      <c r="F15" s="148" t="n"/>
      <c r="G15" s="139" t="n"/>
      <c r="H15" s="139" t="n"/>
      <c r="I15" s="87">
        <f>IFERROR(INDEX(SessionDB!$H$2:$H$64,MATCH(1,(SessionDB!$B$2:$B$64=5)*(SessionDB!$C$2:$C$64=$A15)*((SessionDB!$I$2:$I$64=$E$3)+(SessionDB!$I$2:$I$64="all")),0)),IFERROR(INDEX(SessionDB!$H$2:$H$64,MATCH(1,(SessionDB!$B$2:$B$64=5)*(SessionDB!$C$2:$C$64&lt;$A15)*(SessionDB!$D$2:$D$64&gt;$A15)*((SessionDB!$I$2:$I$64=$E$3)+(SessionDB!$I$2:$I$64="all")),0)),""))</f>
        <v/>
      </c>
    </row>
    <row r="16" ht="33.75" customHeight="1" s="88">
      <c r="A16" s="147" t="inlineStr">
        <is>
          <t>14:00</t>
        </is>
      </c>
      <c r="B16" s="148" t="n"/>
      <c r="C16" s="148" t="n"/>
      <c r="D16" s="148" t="n"/>
      <c r="E16" s="148" t="n"/>
      <c r="F16" s="148" t="n"/>
      <c r="G16" s="139" t="n"/>
      <c r="H16" s="139" t="n"/>
      <c r="I16" s="87">
        <f>IFERROR(INDEX(SessionDB!$H$2:$H$64,MATCH(1,(SessionDB!$B$2:$B$64=5)*(SessionDB!$C$2:$C$64=$A16)*((SessionDB!$I$2:$I$64=$E$3)+(SessionDB!$I$2:$I$64="all")),0)),IFERROR(INDEX(SessionDB!$H$2:$H$64,MATCH(1,(SessionDB!$B$2:$B$64=5)*(SessionDB!$C$2:$C$64&lt;$A16)*(SessionDB!$D$2:$D$64&gt;$A16)*((SessionDB!$I$2:$I$64=$E$3)+(SessionDB!$I$2:$I$64="all")),0)),""))</f>
        <v/>
      </c>
    </row>
    <row r="17" ht="33.75" customHeight="1" s="88">
      <c r="A17" s="149" t="inlineStr">
        <is>
          <t>14:30</t>
        </is>
      </c>
      <c r="B17" s="148" t="n"/>
      <c r="C17" s="148" t="n"/>
      <c r="D17" s="148" t="n"/>
      <c r="E17" s="148" t="n"/>
      <c r="F17" s="148" t="n"/>
      <c r="G17" s="139" t="n"/>
      <c r="H17" s="139" t="n"/>
      <c r="I17" s="87">
        <f>IFERROR(INDEX(SessionDB!$H$2:$H$64,MATCH(1,(SessionDB!$B$2:$B$64=5)*(SessionDB!$C$2:$C$64=$A17)*((SessionDB!$I$2:$I$64=$E$3)+(SessionDB!$I$2:$I$64="all")),0)),IFERROR(INDEX(SessionDB!$H$2:$H$64,MATCH(1,(SessionDB!$B$2:$B$64=5)*(SessionDB!$C$2:$C$64&lt;$A17)*(SessionDB!$D$2:$D$64&gt;$A17)*((SessionDB!$I$2:$I$64=$E$3)+(SessionDB!$I$2:$I$64="all")),0)),""))</f>
        <v/>
      </c>
    </row>
    <row r="18" ht="33.75" customHeight="1" s="88">
      <c r="A18" s="147" t="inlineStr">
        <is>
          <t>15:00</t>
        </is>
      </c>
      <c r="B18" s="148" t="n"/>
      <c r="C18" s="148" t="n"/>
      <c r="D18" s="148" t="n"/>
      <c r="E18" s="148" t="n"/>
      <c r="F18" s="148" t="n"/>
      <c r="G18" s="139" t="n"/>
      <c r="H18" s="139" t="n"/>
      <c r="I18" s="87">
        <f>IFERROR(INDEX(SessionDB!$H$2:$H$64,MATCH(1,(SessionDB!$B$2:$B$64=5)*(SessionDB!$C$2:$C$64=$A18)*((SessionDB!$I$2:$I$64=$E$3)+(SessionDB!$I$2:$I$64="all")),0)),IFERROR(INDEX(SessionDB!$H$2:$H$64,MATCH(1,(SessionDB!$B$2:$B$64=5)*(SessionDB!$C$2:$C$64&lt;$A18)*(SessionDB!$D$2:$D$64&gt;$A18)*((SessionDB!$I$2:$I$64=$E$3)+(SessionDB!$I$2:$I$64="all")),0)),""))</f>
        <v/>
      </c>
    </row>
    <row r="19" ht="33.75" customHeight="1" s="88">
      <c r="A19" s="149" t="inlineStr">
        <is>
          <t>15:30</t>
        </is>
      </c>
      <c r="B19" s="148" t="n"/>
      <c r="C19" s="148" t="n"/>
      <c r="D19" s="148" t="n"/>
      <c r="E19" s="148" t="n"/>
      <c r="F19" s="148" t="n"/>
      <c r="G19" s="139" t="n"/>
      <c r="H19" s="139" t="n"/>
      <c r="I19" s="87">
        <f>IFERROR(INDEX(SessionDB!$H$2:$H$64,MATCH(1,(SessionDB!$B$2:$B$64=5)*(SessionDB!$C$2:$C$64=$A19)*((SessionDB!$I$2:$I$64=$E$3)+(SessionDB!$I$2:$I$64="all")),0)),IFERROR(INDEX(SessionDB!$H$2:$H$64,MATCH(1,(SessionDB!$B$2:$B$64=5)*(SessionDB!$C$2:$C$64&lt;$A19)*(SessionDB!$D$2:$D$64&gt;$A19)*((SessionDB!$I$2:$I$64=$E$3)+(SessionDB!$I$2:$I$64="all")),0)),""))</f>
        <v/>
      </c>
    </row>
    <row r="20" ht="33.75" customHeight="1" s="88">
      <c r="A20" s="147" t="inlineStr">
        <is>
          <t>16:00</t>
        </is>
      </c>
      <c r="B20" s="148" t="n"/>
      <c r="C20" s="148" t="n"/>
      <c r="D20" s="148" t="n"/>
      <c r="E20" s="148" t="n"/>
      <c r="F20" s="148" t="n"/>
      <c r="G20" s="139" t="n"/>
      <c r="H20" s="139" t="n"/>
      <c r="I20" s="87">
        <f>IFERROR(INDEX(SessionDB!$H$2:$H$64,MATCH(1,(SessionDB!$B$2:$B$64=5)*(SessionDB!$C$2:$C$64=$A20)*((SessionDB!$I$2:$I$64=$E$3)+(SessionDB!$I$2:$I$64="all")),0)),IFERROR(INDEX(SessionDB!$H$2:$H$64,MATCH(1,(SessionDB!$B$2:$B$64=5)*(SessionDB!$C$2:$C$64&lt;$A20)*(SessionDB!$D$2:$D$64&gt;$A20)*((SessionDB!$I$2:$I$64=$E$3)+(SessionDB!$I$2:$I$64="all")),0)),""))</f>
        <v/>
      </c>
    </row>
    <row r="21" ht="33.75" customHeight="1" s="88">
      <c r="A21" s="149" t="inlineStr">
        <is>
          <t>16:30</t>
        </is>
      </c>
      <c r="B21" s="148" t="n"/>
      <c r="C21" s="148" t="n"/>
      <c r="D21" s="148" t="n"/>
      <c r="E21" s="148" t="n"/>
      <c r="F21" s="148" t="n"/>
      <c r="G21" s="139" t="n"/>
      <c r="H21" s="139" t="n"/>
      <c r="I21" s="87">
        <f>IFERROR(INDEX(SessionDB!$H$2:$H$64,MATCH(1,(SessionDB!$B$2:$B$64=5)*(SessionDB!$C$2:$C$64=$A21)*((SessionDB!$I$2:$I$64=$E$3)+(SessionDB!$I$2:$I$64="all")),0)),IFERROR(INDEX(SessionDB!$H$2:$H$64,MATCH(1,(SessionDB!$B$2:$B$64=5)*(SessionDB!$C$2:$C$64&lt;$A21)*(SessionDB!$D$2:$D$64&gt;$A21)*((SessionDB!$I$2:$I$64=$E$3)+(SessionDB!$I$2:$I$64="all")),0)),""))</f>
        <v/>
      </c>
    </row>
    <row r="22" ht="33.75" customHeight="1" s="88">
      <c r="A22" s="147" t="inlineStr">
        <is>
          <t>17:00</t>
        </is>
      </c>
      <c r="B22" s="148" t="n"/>
      <c r="C22" s="148" t="n"/>
      <c r="D22" s="148" t="n"/>
      <c r="E22" s="148" t="n"/>
      <c r="F22" s="148" t="n"/>
      <c r="G22" s="139" t="n"/>
      <c r="H22" s="139" t="n"/>
      <c r="I22" s="87">
        <f>IFERROR(INDEX(SessionDB!$H$2:$H$64,MATCH(1,(SessionDB!$B$2:$B$64=5)*(SessionDB!$C$2:$C$64=$A22)*((SessionDB!$I$2:$I$64=$E$3)+(SessionDB!$I$2:$I$64="all")),0)),IFERROR(INDEX(SessionDB!$H$2:$H$64,MATCH(1,(SessionDB!$B$2:$B$64=5)*(SessionDB!$C$2:$C$64&lt;$A22)*(SessionDB!$D$2:$D$64&gt;$A22)*((SessionDB!$I$2:$I$64=$E$3)+(SessionDB!$I$2:$I$64="all")),0)),""))</f>
        <v/>
      </c>
    </row>
    <row r="23" ht="33.75" customHeight="1" s="88">
      <c r="A23" s="149" t="inlineStr">
        <is>
          <t>17:30</t>
        </is>
      </c>
      <c r="B23" s="148" t="n"/>
      <c r="C23" s="148" t="n"/>
      <c r="D23" s="148" t="n"/>
      <c r="E23" s="148" t="n"/>
      <c r="F23" s="148" t="n"/>
      <c r="G23" s="139" t="n"/>
      <c r="H23" s="139" t="n"/>
      <c r="I23" s="87">
        <f>IFERROR(INDEX(SessionDB!$H$2:$H$64,MATCH(1,(SessionDB!$B$2:$B$64=5)*(SessionDB!$C$2:$C$64=$A23)*((SessionDB!$I$2:$I$64=$E$3)+(SessionDB!$I$2:$I$64="all")),0)),IFERROR(INDEX(SessionDB!$H$2:$H$64,MATCH(1,(SessionDB!$B$2:$B$64=5)*(SessionDB!$C$2:$C$64&lt;$A23)*(SessionDB!$D$2:$D$64&gt;$A23)*((SessionDB!$I$2:$I$64=$E$3)+(SessionDB!$I$2:$I$64="all")),0)),""))</f>
        <v/>
      </c>
    </row>
    <row r="24" ht="15" customHeight="1" s="88">
      <c r="A24" s="139" t="n"/>
      <c r="B24" s="139" t="n"/>
      <c r="C24" s="139" t="n"/>
      <c r="D24" s="139" t="n"/>
      <c r="E24" s="139" t="n"/>
      <c r="F24" s="139" t="n"/>
      <c r="G24" s="139" t="n"/>
      <c r="H24" s="139" t="n"/>
    </row>
    <row r="25" ht="36" customHeight="1" s="88">
      <c r="A25" s="167" t="inlineStr">
        <is>
          <t>Tracks: Overall, Leadership, Technical, Design Thinking, Operations  |  Generated: 08 Mar 2026 13:00</t>
        </is>
      </c>
      <c r="G25" s="139" t="n"/>
      <c r="H25" s="139" t="n"/>
    </row>
  </sheetData>
  <mergeCells count="10">
    <mergeCell ref="A2:F2"/>
    <mergeCell ref="B12:B13"/>
    <mergeCell ref="A1:F1"/>
    <mergeCell ref="B10:B11"/>
    <mergeCell ref="C6:C8"/>
    <mergeCell ref="E6:E8"/>
    <mergeCell ref="D6:D8"/>
    <mergeCell ref="B14:B15"/>
    <mergeCell ref="A25:F25"/>
    <mergeCell ref="F6:F8"/>
  </mergeCells>
  <conditionalFormatting sqref="B4:B23">
    <cfRule type="expression" rank="0" priority="2" equalAverage="0" aboveAverage="0" dxfId="22" text="" percent="0" bottom="0">
      <formula>F4="Leadership"</formula>
    </cfRule>
    <cfRule type="expression" rank="0" priority="3" equalAverage="0" aboveAverage="0" dxfId="23" text="" percent="0" bottom="0">
      <formula>F4="Technical"</formula>
    </cfRule>
    <cfRule type="expression" rank="0" priority="4" equalAverage="0" aboveAverage="0" dxfId="24" text="" percent="0" bottom="0">
      <formula>F4="Design Thinking"</formula>
    </cfRule>
    <cfRule type="expression" rank="0" priority="5" equalAverage="0" aboveAverage="0" dxfId="25" text="" percent="0" bottom="0">
      <formula>F4="Operations"</formula>
    </cfRule>
    <cfRule type="expression" rank="0" priority="6" equalAverage="0" aboveAverage="0" dxfId="26" text="" percent="0" bottom="0">
      <formula>F4="Keynote"</formula>
    </cfRule>
    <cfRule type="expression" rank="0" priority="7" equalAverage="0" aboveAverage="0" dxfId="27" text="" percent="0" bottom="0">
      <formula>F4="Break"</formula>
    </cfRule>
  </conditionalFormatting>
  <conditionalFormatting sqref="C4:C23">
    <cfRule type="expression" rank="0" priority="8" equalAverage="0" aboveAverage="0" dxfId="22" text="" percent="0" bottom="0">
      <formula>G4="Leadership"</formula>
    </cfRule>
    <cfRule type="expression" rank="0" priority="9" equalAverage="0" aboveAverage="0" dxfId="23" text="" percent="0" bottom="0">
      <formula>G4="Technical"</formula>
    </cfRule>
    <cfRule type="expression" rank="0" priority="10" equalAverage="0" aboveAverage="0" dxfId="24" text="" percent="0" bottom="0">
      <formula>G4="Design Thinking"</formula>
    </cfRule>
    <cfRule type="expression" rank="0" priority="11" equalAverage="0" aboveAverage="0" dxfId="25" text="" percent="0" bottom="0">
      <formula>G4="Operations"</formula>
    </cfRule>
    <cfRule type="expression" rank="0" priority="12" equalAverage="0" aboveAverage="0" dxfId="26" text="" percent="0" bottom="0">
      <formula>G4="Keynote"</formula>
    </cfRule>
    <cfRule type="expression" rank="0" priority="13" equalAverage="0" aboveAverage="0" dxfId="27" text="" percent="0" bottom="0">
      <formula>G4="Break"</formula>
    </cfRule>
  </conditionalFormatting>
  <conditionalFormatting sqref="D4:D23">
    <cfRule type="expression" rank="0" priority="14" equalAverage="0" aboveAverage="0" dxfId="22" text="" percent="0" bottom="0">
      <formula>H4="Leadership"</formula>
    </cfRule>
    <cfRule type="expression" rank="0" priority="15" equalAverage="0" aboveAverage="0" dxfId="23" text="" percent="0" bottom="0">
      <formula>H4="Technical"</formula>
    </cfRule>
    <cfRule type="expression" rank="0" priority="16" equalAverage="0" aboveAverage="0" dxfId="24" text="" percent="0" bottom="0">
      <formula>H4="Design Thinking"</formula>
    </cfRule>
    <cfRule type="expression" rank="0" priority="17" equalAverage="0" aboveAverage="0" dxfId="25" text="" percent="0" bottom="0">
      <formula>H4="Operations"</formula>
    </cfRule>
    <cfRule type="expression" rank="0" priority="18" equalAverage="0" aboveAverage="0" dxfId="26" text="" percent="0" bottom="0">
      <formula>H4="Keynote"</formula>
    </cfRule>
    <cfRule type="expression" rank="0" priority="19" equalAverage="0" aboveAverage="0" dxfId="27" text="" percent="0" bottom="0">
      <formula>H4="Break"</formula>
    </cfRule>
  </conditionalFormatting>
  <conditionalFormatting sqref="E4:E23">
    <cfRule type="expression" rank="0" priority="20" equalAverage="0" aboveAverage="0" dxfId="22" text="" percent="0" bottom="0">
      <formula>I4="Leadership"</formula>
    </cfRule>
    <cfRule type="expression" rank="0" priority="21" equalAverage="0" aboveAverage="0" dxfId="23" text="" percent="0" bottom="0">
      <formula>I4="Technical"</formula>
    </cfRule>
    <cfRule type="expression" rank="0" priority="22" equalAverage="0" aboveAverage="0" dxfId="24" text="" percent="0" bottom="0">
      <formula>I4="Design Thinking"</formula>
    </cfRule>
    <cfRule type="expression" rank="0" priority="23" equalAverage="0" aboveAverage="0" dxfId="25" text="" percent="0" bottom="0">
      <formula>I4="Operations"</formula>
    </cfRule>
    <cfRule type="expression" rank="0" priority="24" equalAverage="0" aboveAverage="0" dxfId="26" text="" percent="0" bottom="0">
      <formula>I4="Keynote"</formula>
    </cfRule>
    <cfRule type="expression" rank="0" priority="25" equalAverage="0" aboveAverage="0" dxfId="27" text="" percent="0" bottom="0">
      <formula>I4="Break"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0D9488"/>
    <outlinePr summaryBelow="1" summaryRight="1"/>
    <pageSetUpPr fitToPage="0"/>
  </sheetPr>
  <dimension ref="A1:E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87" min="1" max="1"/>
    <col width="20" customWidth="1" style="87" min="2" max="2"/>
    <col width="40" customWidth="1" style="87" min="3" max="3"/>
    <col width="16" customWidth="1" style="87" min="4" max="5"/>
  </cols>
  <sheetData>
    <row r="1" ht="15" customHeight="1" s="88">
      <c r="A1" s="169" t="inlineStr">
        <is>
          <t>Speaker</t>
        </is>
      </c>
      <c r="B1" s="169" t="inlineStr">
        <is>
          <t>Track(s)</t>
        </is>
      </c>
      <c r="C1" s="169" t="inlineStr">
        <is>
          <t>Sessions</t>
        </is>
      </c>
      <c r="D1" s="169" t="inlineStr">
        <is>
          <t>Room(s)</t>
        </is>
      </c>
      <c r="E1" s="169" t="inlineStr">
        <is>
          <t>Days</t>
        </is>
      </c>
    </row>
    <row r="2" ht="23.25" customHeight="1" s="88">
      <c r="A2" s="170" t="inlineStr">
        <is>
          <t>Aisha Johnson</t>
        </is>
      </c>
      <c r="B2" s="170" t="inlineStr">
        <is>
          <t>Leadership</t>
        </is>
      </c>
      <c r="C2" s="171" t="inlineStr">
        <is>
          <t>Stakeholder Alignment; Emotional Intelligence; Cross-Team Collaboration</t>
        </is>
      </c>
      <c r="D2" s="171" t="inlineStr">
        <is>
          <t>Leadership</t>
        </is>
      </c>
      <c r="E2" s="171" t="inlineStr">
        <is>
          <t>1, 2, 3, 4</t>
        </is>
      </c>
    </row>
    <row r="3" ht="23.25" customHeight="1" s="88">
      <c r="A3" s="172" t="inlineStr">
        <is>
          <t>Alex Novak</t>
        </is>
      </c>
      <c r="B3" s="172" t="inlineStr">
        <is>
          <t>Operations, Technical</t>
        </is>
      </c>
      <c r="C3" s="173" t="inlineStr">
        <is>
          <t>Security Fundamentals; Incident Response; Code Review Culture</t>
        </is>
      </c>
      <c r="D3" s="173" t="inlineStr">
        <is>
          <t>Operations, Technical</t>
        </is>
      </c>
      <c r="E3" s="173" t="inlineStr">
        <is>
          <t>2, 3, 4</t>
        </is>
      </c>
    </row>
    <row r="4" ht="23.25" customHeight="1" s="88">
      <c r="A4" s="170" t="inlineStr">
        <is>
          <t>Carlos Ruiz</t>
        </is>
      </c>
      <c r="B4" s="170" t="inlineStr">
        <is>
          <t>Design Thinking</t>
        </is>
      </c>
      <c r="C4" s="171" t="inlineStr">
        <is>
          <t>Prototyping Sprint; Accessibility Workshop; Data Visualization</t>
        </is>
      </c>
      <c r="D4" s="171" t="inlineStr">
        <is>
          <t>Design Thinking</t>
        </is>
      </c>
      <c r="E4" s="171" t="inlineStr">
        <is>
          <t>1, 2, 4, 5</t>
        </is>
      </c>
    </row>
    <row r="5" ht="23.25" customHeight="1" s="88">
      <c r="A5" s="172" t="inlineStr">
        <is>
          <t>David Kim</t>
        </is>
      </c>
      <c r="B5" s="172" t="inlineStr">
        <is>
          <t>Technical</t>
        </is>
      </c>
      <c r="C5" s="173" t="inlineStr">
        <is>
          <t>Cloud Infrastructure; Performance Testing; System Architecture</t>
        </is>
      </c>
      <c r="D5" s="173" t="inlineStr">
        <is>
          <t>Technical</t>
        </is>
      </c>
      <c r="E5" s="173" t="inlineStr">
        <is>
          <t>1, 2, 4, 5</t>
        </is>
      </c>
    </row>
    <row r="6" ht="23.25" customHeight="1" s="88">
      <c r="A6" s="170" t="inlineStr">
        <is>
          <t>Dr. Sarah Chen</t>
        </is>
      </c>
      <c r="B6" s="170" t="inlineStr">
        <is>
          <t>Keynote</t>
        </is>
      </c>
      <c r="C6" s="171" t="inlineStr">
        <is>
          <t>Opening Keynote; Midweek Keynote; Closing Keynote &amp; Awards</t>
        </is>
      </c>
      <c r="D6" s="171" t="inlineStr">
        <is>
          <t>Keynote</t>
        </is>
      </c>
      <c r="E6" s="171" t="inlineStr">
        <is>
          <t>1, 3, 5</t>
        </is>
      </c>
    </row>
    <row r="7" ht="23.25" customHeight="1" s="88">
      <c r="A7" s="172" t="inlineStr">
        <is>
          <t>James Wright</t>
        </is>
      </c>
      <c r="B7" s="172" t="inlineStr">
        <is>
          <t>Operations</t>
        </is>
      </c>
      <c r="C7" s="173" t="inlineStr">
        <is>
          <t>Lean Process Improvement; Capacity Planning; Change Management</t>
        </is>
      </c>
      <c r="D7" s="173" t="inlineStr">
        <is>
          <t>Operations</t>
        </is>
      </c>
      <c r="E7" s="173" t="inlineStr">
        <is>
          <t>1, 2, 4, 5</t>
        </is>
      </c>
    </row>
    <row r="8" ht="23.25" customHeight="1" s="88">
      <c r="A8" s="170" t="inlineStr">
        <is>
          <t>Lena Müller</t>
        </is>
      </c>
      <c r="B8" s="170" t="inlineStr">
        <is>
          <t>Design Thinking</t>
        </is>
      </c>
      <c r="C8" s="171" t="inlineStr">
        <is>
          <t>Empathy Mapping 101; Service Blueprinting; Workshop Facilitation</t>
        </is>
      </c>
      <c r="D8" s="171" t="inlineStr">
        <is>
          <t>Design Thinking</t>
        </is>
      </c>
      <c r="E8" s="171" t="inlineStr">
        <is>
          <t>1, 3, 4</t>
        </is>
      </c>
    </row>
    <row r="9" ht="23.25" customHeight="1" s="88">
      <c r="A9" s="172" t="inlineStr">
        <is>
          <t>Mark Torres</t>
        </is>
      </c>
      <c r="B9" s="172" t="inlineStr">
        <is>
          <t>Leadership</t>
        </is>
      </c>
      <c r="C9" s="173" t="inlineStr">
        <is>
          <t>Leading Through Change; Conflict Resolution; Coaching Skills</t>
        </is>
      </c>
      <c r="D9" s="173" t="inlineStr">
        <is>
          <t>Leadership</t>
        </is>
      </c>
      <c r="E9" s="173" t="inlineStr">
        <is>
          <t>1, 2, 4, 5</t>
        </is>
      </c>
    </row>
    <row r="10" ht="23.25" customHeight="1" s="88">
      <c r="A10" s="170" t="inlineStr">
        <is>
          <t>Nina Petrov</t>
        </is>
      </c>
      <c r="B10" s="170" t="inlineStr">
        <is>
          <t>Operations</t>
        </is>
      </c>
      <c r="C10" s="171" t="inlineStr">
        <is>
          <t>Risk Assessment; Vendor Management; Process Automation</t>
        </is>
      </c>
      <c r="D10" s="171" t="inlineStr">
        <is>
          <t>Operations</t>
        </is>
      </c>
      <c r="E10" s="171" t="inlineStr">
        <is>
          <t>1, 2, 4</t>
        </is>
      </c>
    </row>
    <row r="11" ht="23.25" customHeight="1" s="88">
      <c r="A11" s="172" t="inlineStr">
        <is>
          <t>Priya Sharma</t>
        </is>
      </c>
      <c r="B11" s="172" t="inlineStr">
        <is>
          <t>Technical</t>
        </is>
      </c>
      <c r="C11" s="173" t="inlineStr">
        <is>
          <t>API Design Patterns; DevOps Practices; Testing Strategies</t>
        </is>
      </c>
      <c r="D11" s="173" t="inlineStr">
        <is>
          <t>Technical</t>
        </is>
      </c>
      <c r="E11" s="173" t="inlineStr">
        <is>
          <t>1, 2, 4</t>
        </is>
      </c>
    </row>
    <row r="12" ht="23.25" customHeight="1" s="88">
      <c r="A12" s="170" t="inlineStr">
        <is>
          <t>Rachel Green</t>
        </is>
      </c>
      <c r="B12" s="170" t="inlineStr">
        <is>
          <t>Operations</t>
        </is>
      </c>
      <c r="C12" s="171" t="inlineStr">
        <is>
          <t>Agile Ceremonies; Budget Forecasting; KPI Dashboards</t>
        </is>
      </c>
      <c r="D12" s="171" t="inlineStr">
        <is>
          <t>Operations</t>
        </is>
      </c>
      <c r="E12" s="171" t="inlineStr">
        <is>
          <t>1, 2, 4</t>
        </is>
      </c>
    </row>
    <row r="13" ht="23.25" customHeight="1" s="88">
      <c r="A13" s="172" t="inlineStr">
        <is>
          <t>Tom Bradley</t>
        </is>
      </c>
      <c r="B13" s="172" t="inlineStr">
        <is>
          <t>Leadership</t>
        </is>
      </c>
      <c r="C13" s="173" t="inlineStr">
        <is>
          <t>Feedback Culture; Strategic Planning; Presentation Mastery</t>
        </is>
      </c>
      <c r="D13" s="173" t="inlineStr">
        <is>
          <t>Leadership</t>
        </is>
      </c>
      <c r="E13" s="173" t="inlineStr">
        <is>
          <t>1, 2, 4</t>
        </is>
      </c>
    </row>
    <row r="14" ht="15" customHeight="1" s="88">
      <c r="A14" s="170" t="inlineStr">
        <is>
          <t>Wei Zhang</t>
        </is>
      </c>
      <c r="B14" s="170" t="inlineStr">
        <is>
          <t>Technical</t>
        </is>
      </c>
      <c r="C14" s="171" t="inlineStr">
        <is>
          <t>Data Pipeline Design; AI/ML Integration</t>
        </is>
      </c>
      <c r="D14" s="171" t="inlineStr">
        <is>
          <t>Technical</t>
        </is>
      </c>
      <c r="E14" s="171" t="inlineStr">
        <is>
          <t>1, 3</t>
        </is>
      </c>
    </row>
    <row r="15" ht="23.25" customHeight="1" s="88">
      <c r="A15" s="172" t="inlineStr">
        <is>
          <t>Yuki Tanaka</t>
        </is>
      </c>
      <c r="B15" s="172" t="inlineStr">
        <is>
          <t>Design Thinking</t>
        </is>
      </c>
      <c r="C15" s="173" t="inlineStr">
        <is>
          <t>Design Systems; User Research Methods; Design Critiques</t>
        </is>
      </c>
      <c r="D15" s="173" t="inlineStr">
        <is>
          <t>Design Thinking</t>
        </is>
      </c>
      <c r="E15" s="173" t="inlineStr">
        <is>
          <t>2, 4</t>
        </is>
      </c>
    </row>
  </sheetData>
  <autoFilter ref="A1:E1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475569"/>
    <outlinePr summaryBelow="1" summaryRight="1"/>
    <pageSetUpPr fitToPage="0"/>
  </sheetPr>
  <dimension ref="A1:A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0" customWidth="1" style="87" min="1" max="1"/>
  </cols>
  <sheetData>
    <row r="1" ht="27.75" customHeight="1" s="88">
      <c r="A1" s="174" t="inlineStr">
        <is>
          <t>WORKSHOP TIMETABLE v4 — AUTO-UPDATING GUIDE</t>
        </is>
      </c>
    </row>
    <row r="2" ht="19.5" customHeight="1" s="88">
      <c r="A2" s="175" t="n"/>
    </row>
    <row r="3" ht="27.75" customHeight="1" s="88">
      <c r="A3" s="176" t="inlineStr">
        <is>
          <t>HOW IT WORKS</t>
        </is>
      </c>
    </row>
    <row r="4" ht="36" customHeight="1" s="88">
      <c r="A4" s="177" t="inlineStr">
        <is>
          <t>The Day 1–5 sheets pull session data live from the SessionDB sheet using INDEX/MATCH array formulas.</t>
        </is>
      </c>
    </row>
    <row r="5" ht="36" customHeight="1" s="88">
      <c r="A5" s="177" t="inlineStr">
        <is>
          <t>When you edit SessionDB (title, speaker, room, time, track), the Day sheets update instantly.</t>
        </is>
      </c>
    </row>
    <row r="6" ht="19.5" customHeight="1" s="88">
      <c r="A6" s="175" t="n"/>
    </row>
    <row r="7" ht="27.75" customHeight="1" s="88">
      <c r="A7" s="178" t="inlineStr">
        <is>
          <t>EXCEL VERSION COMPATIBILITY</t>
        </is>
      </c>
    </row>
    <row r="8" ht="19.5" customHeight="1" s="88">
      <c r="A8" s="179" t="inlineStr">
        <is>
          <t>Excel 365 / Excel 2021: Formulas work automatically. No extra steps needed.</t>
        </is>
      </c>
    </row>
    <row r="9" ht="48" customHeight="1" s="88">
      <c r="A9" s="177" t="inlineStr">
        <is>
          <t>Excel 2019 / 2016: You must activate array formulas manually. Select all formula cells (B4:E23 on any Day sheet), press F2, then press Ctrl+Shift+Enter. You will see curly braces {} around the formula in the formula bar. You only need to do this once per sheet.</t>
        </is>
      </c>
    </row>
    <row r="10" ht="36" customHeight="1" s="88">
      <c r="A10" s="180" t="inlineStr">
        <is>
          <t>Excel Online / SharePoint: Array formulas with MATCH(1,...,0) may not calculate. Use the VBA macro approach instead (see below).</t>
        </is>
      </c>
    </row>
    <row r="11" ht="19.5" customHeight="1" s="88">
      <c r="A11" s="175" t="n"/>
    </row>
    <row r="12" ht="27.75" customHeight="1" s="88">
      <c r="A12" s="181" t="inlineStr">
        <is>
          <t>HOW TO EDIT SESSIONS</t>
        </is>
      </c>
    </row>
    <row r="13" ht="19.5" customHeight="1" s="88">
      <c r="A13" s="175" t="inlineStr">
        <is>
          <t>1. Go to SessionDB sheet.</t>
        </is>
      </c>
    </row>
    <row r="14" ht="19.5" customHeight="1" s="88">
      <c r="A14" s="175" t="inlineStr">
        <is>
          <t>2. Edit any value: title, speaker, room, start time, end time, track.</t>
        </is>
      </c>
    </row>
    <row r="15" ht="19.5" customHeight="1" s="88">
      <c r="A15" s="175" t="inlineStr">
        <is>
          <t>3. Switch to the Day sheet — the change is already there.</t>
        </is>
      </c>
    </row>
    <row r="16" ht="36" customHeight="1" s="88">
      <c r="A16" s="175" t="inlineStr">
        <is>
          <t>4. To ADD a session: insert a row, fill Day (number 1–5), Start/End (text like 09:00), Title, Speaker, Room, Type, Track.</t>
        </is>
      </c>
    </row>
    <row r="17" ht="19.5" customHeight="1" s="88">
      <c r="A17" s="175" t="inlineStr">
        <is>
          <t>5. To REMOVE: delete the row from SessionDB.</t>
        </is>
      </c>
    </row>
    <row r="18" ht="36" customHeight="1" s="88">
      <c r="A18" s="175" t="inlineStr">
        <is>
          <t>6. To MOVE to a different time or track: change the Start, End, or Track columns.</t>
        </is>
      </c>
    </row>
    <row r="19" ht="19.5" customHeight="1" s="88">
      <c r="A19" s="175" t="n"/>
    </row>
    <row r="20" ht="27.75" customHeight="1" s="88">
      <c r="A20" s="182" t="inlineStr">
        <is>
          <t>DATA FORMAT RULES</t>
        </is>
      </c>
    </row>
    <row r="21" ht="48" customHeight="1" s="88">
      <c r="A21" s="175" t="inlineStr">
        <is>
          <t>Times MUST be text: type a leading apostrophe before the time, like '09:00. If Excel converts it to a time number, the formulas break. To fix: select the column → Format Cells → Text, then retype the times.</t>
        </is>
      </c>
    </row>
    <row r="22" ht="36" customHeight="1" s="88">
      <c r="A22" s="175" t="inlineStr">
        <is>
          <t>Track (column I) must exactly match: Leadership, Technical, Design Thinking, Operations, or all.</t>
        </is>
      </c>
    </row>
    <row r="23" ht="36" customHeight="1" s="88">
      <c r="A23" s="175" t="inlineStr">
        <is>
          <t>Type (column H) must exactly match: Leadership, Technical, Design Thinking, Operations, Keynote, or Break.</t>
        </is>
      </c>
    </row>
    <row r="24" ht="19.5" customHeight="1" s="88">
      <c r="A24" s="175" t="n"/>
    </row>
    <row r="25" ht="27.75" customHeight="1" s="88">
      <c r="A25" s="181" t="inlineStr">
        <is>
          <t>VBA MACRO ALTERNATIVE (RECOMMENDED FOR VISUAL OUTPUT)</t>
        </is>
      </c>
    </row>
    <row r="26" ht="36" customHeight="1" s="88">
      <c r="A26" s="175" t="inlineStr">
        <is>
          <t>For merged-cell visual timetables (like the original static version), use the VBA macro.</t>
        </is>
      </c>
    </row>
    <row r="27" ht="19.5" customHeight="1" s="88">
      <c r="A27" s="175" t="inlineStr">
        <is>
          <t>1. Save As → .xlsm (Macro-Enabled Workbook).</t>
        </is>
      </c>
    </row>
    <row r="28" ht="36" customHeight="1" s="88">
      <c r="A28" s="175" t="inlineStr">
        <is>
          <t>2. Press Alt+F11 → Insert → Module → paste the macro code from workshop-refresh-macro.bas.</t>
        </is>
      </c>
    </row>
    <row r="29" ht="19.5" customHeight="1" s="88">
      <c r="A29" s="175" t="inlineStr">
        <is>
          <t>3. Press Alt+F8 → RefreshAllDays → Run.</t>
        </is>
      </c>
    </row>
    <row r="30" ht="19.5" customHeight="1" s="88">
      <c r="A30" s="175" t="inlineStr">
        <is>
          <t>4. All Day sheets rebuild with merged cells, color borders, and full formatting.</t>
        </is>
      </c>
    </row>
    <row r="31" ht="36" customHeight="1" s="88">
      <c r="A31" s="183" t="inlineStr">
        <is>
          <t>NOTE: Rename the SessionDB tab back to 'Session Database' if using the VBA macro (the macro references that name).</t>
        </is>
      </c>
    </row>
    <row r="32" ht="19.5" customHeight="1" s="88">
      <c r="A32" s="175" t="n"/>
    </row>
    <row r="33" ht="27.75" customHeight="1" s="88">
      <c r="A33" s="181" t="inlineStr">
        <is>
          <t>UNDERSTANDING THE DAY SHEET DISPLAY</t>
        </is>
      </c>
    </row>
    <row r="34" ht="19.5" customHeight="1" s="88">
      <c r="A34" s="175" t="inlineStr">
        <is>
          <t>Session starts at this time → Shows: Title + Speaker • Room</t>
        </is>
      </c>
    </row>
    <row r="35" ht="19.5" customHeight="1" s="88">
      <c r="A35" s="175" t="inlineStr">
        <is>
          <t>Session ongoing (started earlier) → Shows: ↓ Title (continuation marker)</t>
        </is>
      </c>
    </row>
    <row r="36" ht="19.5" customHeight="1" s="88">
      <c r="A36" s="175" t="inlineStr">
        <is>
          <t>No session → Cell is blank</t>
        </is>
      </c>
    </row>
    <row r="37" ht="19.5" customHeight="1" s="88">
      <c r="A37" s="175" t="inlineStr">
        <is>
          <t>Colors are automatic via conditional formatting based on the session Type.</t>
        </is>
      </c>
    </row>
    <row r="38" ht="19.5" customHeight="1" s="88">
      <c r="A38" s="175" t="n"/>
    </row>
    <row r="39" ht="27.75" customHeight="1" s="88">
      <c r="A39" s="182" t="inlineStr">
        <is>
          <t>TROUBLESHOOTING BLANK CELLS</t>
        </is>
      </c>
    </row>
    <row r="40" ht="19.5" customHeight="1" s="88">
      <c r="A40" s="175" t="inlineStr">
        <is>
          <t>If Day sheets show blank cells:</t>
        </is>
      </c>
    </row>
    <row r="41" ht="36" customHeight="1" s="88">
      <c r="A41" s="175" t="inlineStr">
        <is>
          <t>1. Check that times in SessionDB column C and D are TEXT, not time-formatted numbers. The formula bar should show 09:00 not 0.375.</t>
        </is>
      </c>
    </row>
    <row r="42" ht="36" customHeight="1" s="88">
      <c r="A42" s="175" t="inlineStr">
        <is>
          <t>2. In Excel 2019 or earlier: select B4:E23 → F2 → Ctrl+Shift+Enter to array-enter.</t>
        </is>
      </c>
    </row>
    <row r="43" ht="19.5" customHeight="1" s="88">
      <c r="A43" s="175" t="inlineStr">
        <is>
          <t>3. Verify Track names match exactly (case-sensitive in some formulas).</t>
        </is>
      </c>
    </row>
    <row r="44" ht="36" customHeight="1" s="88">
      <c r="A44" s="175" t="inlineStr">
        <is>
          <t>4. If nothing works: use the VBA macro approach — it bypasses all formula issues.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2026-03-08T11:41:36Z</dcterms:created>
  <dcterms:modified xmlns:dcterms="http://purl.org/dc/terms/" xmlns:xsi="http://www.w3.org/2001/XMLSchema-instance" xsi:type="dcterms:W3CDTF">2026-03-08T13:59:39Z</dcterms:modified>
  <cp:revision>0</cp:revision>
</cp:coreProperties>
</file>