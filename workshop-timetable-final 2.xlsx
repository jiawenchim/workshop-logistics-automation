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SessionDB" sheetId="1" state="visible" r:id="rId1"/>
    <sheet xmlns:r="http://schemas.openxmlformats.org/officeDocument/2006/relationships" name="ParticipantsDB" sheetId="2" state="visible" r:id="rId2"/>
    <sheet xmlns:r="http://schemas.openxmlformats.org/officeDocument/2006/relationships" name="Participants Statistics" sheetId="3" state="visible" r:id="rId3"/>
    <sheet xmlns:r="http://schemas.openxmlformats.org/officeDocument/2006/relationships" name="RoomDB" sheetId="4" state="visible" r:id="rId4"/>
    <sheet xmlns:r="http://schemas.openxmlformats.org/officeDocument/2006/relationships" name="Room Management" sheetId="5" state="visible" r:id="rId5"/>
    <sheet xmlns:r="http://schemas.openxmlformats.org/officeDocument/2006/relationships" name="Agenda" sheetId="6" state="visible" r:id="rId6"/>
    <sheet xmlns:r="http://schemas.openxmlformats.org/officeDocument/2006/relationships" name="Speakers" sheetId="7" state="visible" r:id="rId7"/>
    <sheet xmlns:r="http://schemas.openxmlformats.org/officeDocument/2006/relationships" name="How To Use" sheetId="8" state="visible" r:id="rId8"/>
  </sheets>
  <definedNames>
    <definedName name="TrackList" hidden="0" function="0" vbProcedure="0">OFFSET(SessionDB!$R$2,0,0,COUNTA(SessionDB!$R$2:$R$50),1)</definedName>
    <definedName name="_xlnm._FilterDatabase" localSheetId="0" hidden="1">'SessionDB'!$A$1:$K$64</definedName>
    <definedName name="_xlnm._FilterDatabase" localSheetId="1" hidden="1">'ParticipantsDB'!$A$1:$P$21</definedName>
    <definedName name="_xlnm._FilterDatabase" localSheetId="6" hidden="1">'Speakers'!$A$1:$E$15</definedName>
  </definedNames>
  <calcPr calcId="124519" fullCalcOnLoad="1" refMode="A1" iterate="0" iterateCount="100" iterateDelta="0.0001"/>
</workbook>
</file>

<file path=xl/styles.xml><?xml version="1.0" encoding="utf-8"?>
<styleSheet xmlns="http://schemas.openxmlformats.org/spreadsheetml/2006/main">
  <numFmts count="2">
    <numFmt numFmtId="164" formatCode="0.0%"/>
    <numFmt numFmtId="165" formatCode="0.0"/>
  </numFmts>
  <fonts count="80">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0"/>
    </font>
    <font>
      <name val="Arial"/>
      <charset val="1"/>
      <family val="0"/>
      <b val="1"/>
      <color rgb="FFFFFFFF"/>
      <sz val="8"/>
    </font>
    <font>
      <name val="Arial"/>
      <charset val="1"/>
      <family val="0"/>
      <color rgb="FF1E293B"/>
      <sz val="10"/>
    </font>
    <font>
      <name val="Arial"/>
      <charset val="1"/>
      <family val="0"/>
      <b val="1"/>
      <color rgb="FF0000FF"/>
      <sz val="10"/>
    </font>
    <font>
      <name val="Arial"/>
      <charset val="1"/>
      <family val="0"/>
      <b val="1"/>
      <sz val="9"/>
    </font>
    <font>
      <name val="Arial"/>
      <charset val="1"/>
      <family val="0"/>
      <b val="1"/>
      <color rgb="FF1E40AF"/>
      <sz val="10"/>
    </font>
    <font>
      <name val="Arial"/>
      <charset val="1"/>
      <family val="0"/>
      <b val="1"/>
      <color rgb="FF166534"/>
      <sz val="10"/>
    </font>
    <font>
      <name val="Arial"/>
      <charset val="1"/>
      <family val="0"/>
      <b val="1"/>
      <color rgb="FF5B21B6"/>
      <sz val="10"/>
    </font>
    <font>
      <name val="Arial"/>
      <charset val="1"/>
      <family val="0"/>
      <b val="1"/>
      <color rgb="FF9A3412"/>
      <sz val="10"/>
    </font>
    <font>
      <name val="Arial"/>
      <charset val="1"/>
      <family val="0"/>
      <color rgb="FF0000FF"/>
      <sz val="10"/>
    </font>
    <font>
      <name val="Arial"/>
      <charset val="1"/>
      <family val="0"/>
      <b val="1"/>
      <color rgb="FF065F46"/>
      <sz val="10"/>
    </font>
    <font>
      <name val="Arial"/>
      <charset val="1"/>
      <family val="0"/>
      <b val="1"/>
      <color rgb="FF991B1B"/>
      <sz val="10"/>
    </font>
    <font>
      <name val="Arial"/>
      <charset val="1"/>
      <family val="0"/>
      <b val="1"/>
      <color rgb="FFFFFFFF"/>
      <sz val="16"/>
    </font>
    <font>
      <name val="Arial"/>
      <charset val="1"/>
      <family val="0"/>
      <b val="1"/>
      <color rgb="FFFFFFFF"/>
      <sz val="13"/>
    </font>
    <font>
      <name val="Arial"/>
      <charset val="1"/>
      <family val="0"/>
      <b val="1"/>
      <color rgb="FF1E293B"/>
      <sz val="10"/>
    </font>
    <font>
      <name val="Arial"/>
      <charset val="1"/>
      <family val="0"/>
      <b val="1"/>
      <color rgb="FF1B3A5F"/>
      <sz val="11"/>
    </font>
    <font>
      <name val="Arial"/>
      <charset val="1"/>
      <family val="0"/>
      <b val="1"/>
      <color rgb="FFFFFFFF"/>
      <sz val="14"/>
    </font>
    <font>
      <name val="Arial"/>
      <charset val="1"/>
      <family val="0"/>
      <b val="1"/>
      <color rgb="FFFFFFFF"/>
      <sz val="11"/>
    </font>
    <font>
      <name val="Arial"/>
      <charset val="1"/>
      <family val="0"/>
      <b val="1"/>
      <color rgb="FFFFFFFF"/>
      <sz val="9"/>
    </font>
    <font>
      <name val="Arial"/>
      <charset val="1"/>
      <family val="0"/>
      <b val="1"/>
      <color rgb="FFFFFFFF"/>
      <sz val="7"/>
    </font>
    <font>
      <name val="Arial"/>
      <charset val="1"/>
      <family val="0"/>
      <b val="1"/>
      <color rgb="FF1E293B"/>
      <sz val="9"/>
    </font>
    <font>
      <name val="Arial"/>
      <charset val="1"/>
      <family val="0"/>
      <b val="1"/>
      <color rgb="FF166534"/>
      <sz val="8"/>
    </font>
    <font>
      <name val="Arial"/>
      <charset val="1"/>
      <family val="0"/>
      <sz val="8"/>
    </font>
    <font>
      <name val="Arial"/>
      <charset val="1"/>
      <family val="0"/>
      <b val="1"/>
      <color rgb="FF9A3412"/>
      <sz val="8"/>
    </font>
    <font>
      <name val="Arial"/>
      <charset val="1"/>
      <family val="0"/>
      <b val="1"/>
      <color rgb="FF64748B"/>
      <sz val="9"/>
    </font>
    <font>
      <name val="Arial"/>
      <charset val="1"/>
      <family val="0"/>
      <color rgb="FF1E293B"/>
      <sz val="8"/>
    </font>
    <font>
      <name val="Arial"/>
      <charset val="1"/>
      <family val="0"/>
      <color rgb="FF64748B"/>
      <sz val="9"/>
    </font>
    <font>
      <name val="Arial"/>
      <charset val="1"/>
      <family val="0"/>
      <i val="1"/>
      <color rgb="FF64748B"/>
      <sz val="9"/>
    </font>
    <font>
      <name val="Arial"/>
      <charset val="1"/>
      <family val="0"/>
      <b val="1"/>
      <color rgb="FF64748B"/>
      <sz val="8"/>
    </font>
    <font>
      <name val="Arial"/>
      <charset val="1"/>
      <family val="0"/>
      <color rgb="FF64748B"/>
      <sz val="8"/>
    </font>
    <font>
      <name val="Arial"/>
      <charset val="1"/>
      <family val="0"/>
      <b val="1"/>
      <color rgb="FF5D4037"/>
      <sz val="9"/>
    </font>
    <font>
      <name val="Arial"/>
      <charset val="1"/>
      <family val="0"/>
      <b val="1"/>
      <color rgb="FF1E3A5F"/>
      <sz val="8"/>
    </font>
    <font>
      <name val="Arial"/>
      <charset val="1"/>
      <family val="0"/>
      <color rgb="FF1E3A5F"/>
      <sz val="8"/>
    </font>
    <font>
      <name val="Arial"/>
      <charset val="1"/>
      <family val="0"/>
      <b val="1"/>
      <color rgb="FF4A1D96"/>
      <sz val="8"/>
    </font>
    <font>
      <name val="Arial"/>
      <charset val="1"/>
      <family val="0"/>
      <color rgb="FF4A1D96"/>
      <sz val="8"/>
    </font>
    <font>
      <name val="Arial"/>
      <charset val="1"/>
      <family val="0"/>
      <b val="1"/>
      <color rgb="FF065F46"/>
      <sz val="8"/>
    </font>
    <font>
      <name val="Arial"/>
      <charset val="1"/>
      <family val="0"/>
      <color rgb="FF065F46"/>
      <sz val="8"/>
    </font>
    <font>
      <name val="Arial"/>
      <charset val="1"/>
      <family val="0"/>
      <b val="1"/>
      <color rgb="FF7F1D1D"/>
      <sz val="8"/>
    </font>
    <font>
      <name val="Arial"/>
      <charset val="1"/>
      <family val="0"/>
      <color rgb="FF7F1D1D"/>
      <sz val="8"/>
    </font>
    <font>
      <name val="Arial"/>
      <charset val="1"/>
      <family val="0"/>
      <b val="1"/>
      <color rgb="FF546E7A"/>
      <sz val="9"/>
    </font>
    <font>
      <name val="Arial"/>
      <charset val="1"/>
      <family val="0"/>
      <b val="1"/>
      <color rgb="FF1B3A5F"/>
      <sz val="16"/>
    </font>
    <font>
      <name val="Arial"/>
      <charset val="1"/>
      <family val="0"/>
      <b val="1"/>
      <color rgb="FF1B3A5F"/>
      <sz val="14"/>
    </font>
    <font>
      <name val="Arial"/>
      <charset val="1"/>
      <family val="0"/>
      <color rgb="FF1E293B"/>
      <sz val="11"/>
    </font>
    <font>
      <name val="Arial"/>
      <charset val="1"/>
      <family val="0"/>
      <b val="1"/>
      <color rgb="FFDC2626"/>
      <sz val="14"/>
    </font>
    <font>
      <name val="Arial"/>
      <charset val="1"/>
      <family val="0"/>
      <color rgb="FF166534"/>
      <sz val="11"/>
    </font>
    <font>
      <name val="Arial"/>
      <charset val="1"/>
      <family val="0"/>
      <color rgb="FF991B1B"/>
      <sz val="11"/>
    </font>
    <font>
      <name val="Arial"/>
      <charset val="1"/>
      <family val="0"/>
      <b val="1"/>
      <color rgb="FF1B3A5F"/>
      <sz val="13"/>
    </font>
    <font>
      <name val="Arial"/>
      <charset val="1"/>
      <family val="0"/>
      <b val="1"/>
      <color rgb="FFDC2626"/>
      <sz val="13"/>
    </font>
    <font>
      <name val="Arial"/>
      <charset val="1"/>
      <family val="0"/>
      <color rgb="FF991B1B"/>
      <sz val="10"/>
    </font>
    <font>
      <name val="Arial"/>
      <b val="1"/>
      <color rgb="00FFFFFF"/>
      <sz val="14"/>
    </font>
    <font>
      <name val="Arial"/>
      <b val="1"/>
      <color rgb="00FFFFFF"/>
      <sz val="10"/>
    </font>
    <font>
      <name val="Arial"/>
      <b val="1"/>
      <color rgb="00FFFFFF"/>
      <sz val="9"/>
    </font>
    <font>
      <name val="Arial"/>
      <b val="1"/>
      <color rgb="0064748B"/>
      <sz val="8"/>
    </font>
    <font>
      <name val="Arial"/>
      <b val="1"/>
      <color rgb="001E293B"/>
      <sz val="10"/>
    </font>
    <font>
      <name val="Arial"/>
      <b val="1"/>
      <color rgb="001E293B"/>
      <sz val="9"/>
    </font>
    <font>
      <name val="Arial"/>
      <b val="1"/>
      <color rgb="0064748B"/>
      <sz val="9"/>
    </font>
    <font>
      <name val="Arial"/>
      <b val="1"/>
      <color rgb="00166534"/>
      <sz val="8"/>
    </font>
    <font>
      <name val="Arial"/>
      <color rgb="0094A3B8"/>
      <sz val="8"/>
    </font>
    <font>
      <name val="Arial"/>
      <color rgb="0064748B"/>
      <sz val="9"/>
    </font>
    <font>
      <name val="Arial"/>
      <b val="1"/>
      <color rgb="001E40AF"/>
      <sz val="7"/>
    </font>
    <font>
      <name val="Arial"/>
      <color rgb="001E40AF"/>
      <sz val="7"/>
    </font>
    <font>
      <name val="Arial"/>
      <b val="1"/>
      <color rgb="00FFFFFF"/>
      <sz val="11"/>
    </font>
    <font>
      <name val="Arial"/>
      <b val="1"/>
      <color rgb="001E40AF"/>
      <sz val="9"/>
    </font>
    <font>
      <name val="Arial"/>
      <b val="1"/>
      <color rgb="001E40AF"/>
      <sz val="10"/>
    </font>
    <font>
      <name val="Arial"/>
      <b val="1"/>
      <color rgb="00166534"/>
      <sz val="9"/>
    </font>
    <font>
      <name val="Arial"/>
      <b val="1"/>
      <color rgb="00166534"/>
      <sz val="10"/>
    </font>
    <font>
      <name val="Arial"/>
      <b val="1"/>
      <color rgb="0094A3B8"/>
      <sz val="9"/>
    </font>
    <font>
      <name val="Arial"/>
      <b val="1"/>
      <color rgb="0094A3B8"/>
      <sz val="10"/>
    </font>
    <font>
      <name val="Arial"/>
      <i val="1"/>
      <color rgb="0064748B"/>
      <sz val="9"/>
    </font>
    <font>
      <name val="Arial"/>
      <b val="1"/>
      <color rgb="00FFFFFF"/>
      <sz val="8"/>
    </font>
    <font>
      <name val="Arial"/>
      <b val="1"/>
      <sz val="9"/>
    </font>
    <font>
      <name val="Arial"/>
      <b val="1"/>
      <color rgb="00FFFFFF"/>
      <sz val="7"/>
    </font>
    <font>
      <name val="Arial"/>
      <color rgb="001E293B"/>
      <sz val="9"/>
    </font>
    <font>
      <name val="Arial"/>
      <b val="1"/>
      <color rgb="001E293B"/>
      <sz val="8"/>
    </font>
    <font>
      <name val="Arial"/>
      <b val="1"/>
      <color rgb="00FFFFFF"/>
      <sz val="13"/>
    </font>
    <font>
      <name val="Arial"/>
      <color rgb="001E293B"/>
      <sz val="8"/>
    </font>
  </fonts>
  <fills count="40">
    <fill>
      <patternFill/>
    </fill>
    <fill>
      <patternFill patternType="gray125"/>
    </fill>
    <fill>
      <patternFill patternType="solid">
        <fgColor rgb="FF1B3A5F"/>
        <bgColor rgb="FF1E3A5F"/>
      </patternFill>
    </fill>
    <fill>
      <patternFill patternType="solid">
        <fgColor rgb="FF991B1B"/>
        <bgColor rgb="FF7F1D1D"/>
      </patternFill>
    </fill>
    <fill>
      <patternFill patternType="solid">
        <fgColor rgb="FFF2F4F7"/>
        <bgColor rgb="FFF0F1F3"/>
      </patternFill>
    </fill>
    <fill>
      <patternFill patternType="solid">
        <fgColor rgb="FF2563EB"/>
        <bgColor rgb="FF1E40AF"/>
      </patternFill>
    </fill>
    <fill>
      <patternFill patternType="solid">
        <fgColor rgb="FFDBEAFE"/>
        <bgColor rgb="FFE2E8F0"/>
      </patternFill>
    </fill>
    <fill>
      <patternFill patternType="solid">
        <fgColor rgb="FFDCFCE7"/>
        <bgColor rgb="FFD1FAE5"/>
      </patternFill>
    </fill>
    <fill>
      <patternFill patternType="solid">
        <fgColor rgb="FFEDE9FE"/>
        <bgColor rgb="FFECEFF1"/>
      </patternFill>
    </fill>
    <fill>
      <patternFill patternType="solid">
        <fgColor rgb="FFFFEDD5"/>
        <bgColor rgb="FFFEF3C7"/>
      </patternFill>
    </fill>
    <fill>
      <patternFill patternType="solid">
        <fgColor rgb="FFCCFBF1"/>
        <bgColor rgb="FFD1FAE5"/>
      </patternFill>
    </fill>
    <fill>
      <patternFill patternType="solid">
        <fgColor rgb="FFFEE2E2"/>
        <bgColor rgb="FFFCE4EC"/>
      </patternFill>
    </fill>
    <fill>
      <patternFill patternType="solid">
        <fgColor rgb="FFDC2626"/>
        <bgColor rgb="FFBE123C"/>
      </patternFill>
    </fill>
    <fill>
      <patternFill patternType="solid">
        <fgColor rgb="FF7C3AED"/>
        <bgColor rgb="FF6D28D9"/>
      </patternFill>
    </fill>
    <fill>
      <patternFill patternType="solid">
        <fgColor rgb="FF0D9488"/>
        <bgColor rgb="FF339966"/>
      </patternFill>
    </fill>
    <fill>
      <patternFill patternType="solid">
        <fgColor rgb="FF2D3748"/>
        <bgColor rgb="FF2E4057"/>
      </patternFill>
    </fill>
    <fill>
      <patternFill patternType="solid">
        <fgColor rgb="FF475569"/>
        <bgColor rgb="FF546E7A"/>
      </patternFill>
    </fill>
    <fill>
      <patternFill patternType="solid">
        <fgColor rgb="FFF0F1F3"/>
        <bgColor rgb="FFECEFF1"/>
      </patternFill>
    </fill>
    <fill>
      <patternFill patternType="solid">
        <fgColor rgb="FFFEF3C7"/>
        <bgColor rgb="FFFFEDD5"/>
      </patternFill>
    </fill>
    <fill>
      <patternFill patternType="solid">
        <fgColor rgb="FFE2E8F0"/>
        <bgColor rgb="FFDBEAFE"/>
      </patternFill>
    </fill>
    <fill>
      <patternFill patternType="solid">
        <fgColor rgb="FFFFFFFF"/>
        <bgColor rgb="FFFFF8E1"/>
      </patternFill>
    </fill>
    <fill>
      <patternFill patternType="solid">
        <fgColor rgb="FF2E4057"/>
        <bgColor rgb="FF2D3748"/>
      </patternFill>
    </fill>
    <fill>
      <patternFill patternType="solid">
        <fgColor rgb="FF6D28D9"/>
        <bgColor rgb="FF5B21B6"/>
      </patternFill>
    </fill>
    <fill>
      <patternFill patternType="solid">
        <fgColor rgb="FFBE123C"/>
        <bgColor rgb="FFDC2626"/>
      </patternFill>
    </fill>
    <fill>
      <patternFill patternType="solid">
        <fgColor rgb="FFFFF8E1"/>
        <bgColor rgb="FFFFEDD5"/>
      </patternFill>
    </fill>
    <fill>
      <patternFill patternType="solid">
        <fgColor rgb="FFD6E4F0"/>
        <bgColor rgb="FFDBEAFE"/>
      </patternFill>
    </fill>
    <fill>
      <patternFill patternType="solid">
        <fgColor rgb="FFE8E0F0"/>
        <bgColor rgb="FFE2E8F0"/>
      </patternFill>
    </fill>
    <fill>
      <patternFill patternType="solid">
        <fgColor rgb="FFD1FAE5"/>
        <bgColor rgb="FFCCFBF1"/>
      </patternFill>
    </fill>
    <fill>
      <patternFill patternType="solid">
        <fgColor rgb="FFFCE4EC"/>
        <bgColor rgb="FFFEE2E2"/>
      </patternFill>
    </fill>
    <fill>
      <patternFill patternType="solid">
        <fgColor rgb="FFECEFF1"/>
        <bgColor rgb="FFF0F1F3"/>
      </patternFill>
    </fill>
    <fill>
      <patternFill patternType="solid">
        <fgColor rgb="00991B1B"/>
      </patternFill>
    </fill>
    <fill>
      <patternFill patternType="solid">
        <fgColor rgb="00475569"/>
      </patternFill>
    </fill>
    <fill>
      <patternFill patternType="solid">
        <fgColor rgb="002563EB"/>
      </patternFill>
    </fill>
    <fill>
      <patternFill patternType="solid">
        <fgColor rgb="00DC2626"/>
      </patternFill>
    </fill>
    <fill>
      <patternFill patternType="solid">
        <fgColor rgb="00F0F1F3"/>
      </patternFill>
    </fill>
    <fill>
      <patternFill patternType="solid">
        <fgColor rgb="00FEF3C7"/>
      </patternFill>
    </fill>
    <fill>
      <patternFill patternType="solid">
        <fgColor rgb="00DCFCE7"/>
      </patternFill>
    </fill>
    <fill>
      <patternFill patternType="solid">
        <fgColor rgb="00E2E8F0"/>
      </patternFill>
    </fill>
    <fill>
      <patternFill patternType="solid">
        <fgColor rgb="00DBEAFE"/>
      </patternFill>
    </fill>
    <fill>
      <patternFill patternType="solid">
        <fgColor rgb="001B3A5F"/>
      </patternFill>
    </fill>
  </fills>
  <borders count="63">
    <border>
      <left/>
      <right/>
      <top/>
      <bottom/>
      <diagonal/>
    </border>
    <border>
      <left style="thin">
        <color rgb="FFD0D5DD"/>
      </left>
      <right style="thin">
        <color rgb="FFD0D5DD"/>
      </right>
      <top style="thin">
        <color rgb="FFD0D5DD"/>
      </top>
      <bottom style="thin">
        <color rgb="FFD0D5DD"/>
      </bottom>
      <diagonal/>
    </border>
    <border>
      <left style="thin">
        <color rgb="FF90A4AE"/>
      </left>
      <right style="thin">
        <color rgb="FF90A4AE"/>
      </right>
      <top style="thin">
        <color rgb="FF90A4AE"/>
      </top>
      <bottom style="thin">
        <color rgb="FF90A4AE"/>
      </bottom>
      <diagonal/>
    </border>
    <border>
      <left style="thin">
        <color rgb="FF90A4AE"/>
      </left>
      <right style="thin">
        <color rgb="FF90A4AE"/>
      </right>
      <top style="medium">
        <color rgb="FF1B3A5F"/>
      </top>
      <bottom style="thin">
        <color rgb="FF90A4AE"/>
      </bottom>
      <diagonal/>
    </border>
    <border>
      <left style="thin">
        <color rgb="FF90A4AE"/>
      </left>
      <right style="thin">
        <color rgb="FF90A4AE"/>
      </right>
      <top style="hair">
        <color rgb="FFCFD8DC"/>
      </top>
      <bottom style="hair">
        <color rgb="FFCFD8DC"/>
      </bottom>
      <diagonal/>
    </border>
    <border>
      <left style="medium">
        <color rgb="FFD97706"/>
      </left>
      <right style="medium">
        <color rgb="FFD97706"/>
      </right>
      <top style="thin">
        <color rgb="FFD97706"/>
      </top>
      <bottom style="thin">
        <color rgb="FFD97706"/>
      </bottom>
      <diagonal/>
    </border>
    <border>
      <left style="medium">
        <color rgb="FF2563EB"/>
      </left>
      <right style="thin">
        <color rgb="FF2563EB"/>
      </right>
      <top style="thin">
        <color rgb="FF2563EB"/>
      </top>
      <bottom style="thin">
        <color rgb="FF2563EB"/>
      </bottom>
      <diagonal/>
    </border>
    <border>
      <left style="thin">
        <color rgb="FF2563EB"/>
      </left>
      <right style="medium">
        <color rgb="FF2563EB"/>
      </right>
      <top style="thin">
        <color rgb="FF2563EB"/>
      </top>
      <bottom style="thin">
        <color rgb="FF2563EB"/>
      </bottom>
      <diagonal/>
    </border>
    <border>
      <left style="medium">
        <color rgb="FF6D28D9"/>
      </left>
      <right style="thin">
        <color rgb="FF6D28D9"/>
      </right>
      <top style="thin">
        <color rgb="FF6D28D9"/>
      </top>
      <bottom style="thin">
        <color rgb="FF6D28D9"/>
      </bottom>
      <diagonal/>
    </border>
    <border>
      <left style="thin">
        <color rgb="FF6D28D9"/>
      </left>
      <right style="medium">
        <color rgb="FF6D28D9"/>
      </right>
      <top style="thin">
        <color rgb="FF6D28D9"/>
      </top>
      <bottom style="thin">
        <color rgb="FF6D28D9"/>
      </bottom>
      <diagonal/>
    </border>
    <border>
      <left style="medium">
        <color rgb="FF0D9488"/>
      </left>
      <right style="thin">
        <color rgb="FF0D9488"/>
      </right>
      <top style="thin">
        <color rgb="FF0D9488"/>
      </top>
      <bottom style="thin">
        <color rgb="FF0D9488"/>
      </bottom>
      <diagonal/>
    </border>
    <border>
      <left style="thin">
        <color rgb="FF0D9488"/>
      </left>
      <right style="medium">
        <color rgb="FF0D9488"/>
      </right>
      <top style="thin">
        <color rgb="FF0D9488"/>
      </top>
      <bottom style="thin">
        <color rgb="FF0D9488"/>
      </bottom>
      <diagonal/>
    </border>
    <border>
      <left style="medium">
        <color rgb="FFBE123C"/>
      </left>
      <right style="thin">
        <color rgb="FFBE123C"/>
      </right>
      <top style="thin">
        <color rgb="FFBE123C"/>
      </top>
      <bottom style="thin">
        <color rgb="FFBE123C"/>
      </bottom>
      <diagonal/>
    </border>
    <border>
      <left style="thin">
        <color rgb="FFBE123C"/>
      </left>
      <right style="medium">
        <color rgb="FFBE123C"/>
      </right>
      <top style="thin">
        <color rgb="FFBE123C"/>
      </top>
      <bottom style="thin">
        <color rgb="FFBE123C"/>
      </bottom>
      <diagonal/>
    </border>
    <border>
      <left style="medium">
        <color rgb="FF90A4AE"/>
      </left>
      <right style="medium">
        <color rgb="FF90A4AE"/>
      </right>
      <top style="thin">
        <color rgb="FF90A4AE"/>
      </top>
      <bottom style="thin">
        <color rgb="FF90A4AE"/>
      </bottom>
      <diagonal/>
    </border>
    <border>
      <left/>
      <right/>
      <top style="thin">
        <color rgb="FF90A4AE"/>
      </top>
      <bottom/>
      <diagonal/>
    </border>
    <border>
      <left/>
      <right style="thin">
        <color rgb="FF90A4AE"/>
      </right>
      <top style="thin">
        <color rgb="FF90A4AE"/>
      </top>
      <bottom/>
      <diagonal/>
    </border>
    <border>
      <left/>
      <right/>
      <top style="thin">
        <color rgb="FF90A4AE"/>
      </top>
      <bottom style="thin">
        <color rgb="FF90A4AE"/>
      </bottom>
      <diagonal/>
    </border>
    <border>
      <left/>
      <right style="thin">
        <color rgb="FF90A4AE"/>
      </right>
      <top style="thin">
        <color rgb="FF90A4AE"/>
      </top>
      <bottom style="thin">
        <color rgb="FF90A4AE"/>
      </bottom>
      <diagonal/>
    </border>
    <border>
      <left/>
      <right/>
      <top style="thin">
        <color rgb="FFD97706"/>
      </top>
      <bottom/>
      <diagonal/>
    </border>
    <border>
      <left style="medium">
        <color rgb="FFD97706"/>
      </left>
      <right/>
      <top/>
      <bottom/>
      <diagonal/>
    </border>
    <border>
      <left/>
      <right style="medium">
        <color rgb="FFD97706"/>
      </right>
      <top style="thin">
        <color rgb="FFD97706"/>
      </top>
      <bottom/>
      <diagonal/>
    </border>
    <border>
      <left/>
      <right style="medium">
        <color rgb="FFD97706"/>
      </right>
      <top/>
      <bottom/>
      <diagonal/>
    </border>
    <border>
      <left style="medium">
        <color rgb="FFD97706"/>
      </left>
      <right/>
      <top/>
      <bottom style="thin">
        <color rgb="FFD97706"/>
      </bottom>
      <diagonal/>
    </border>
    <border>
      <left/>
      <right/>
      <top/>
      <bottom style="thin">
        <color rgb="FFD97706"/>
      </bottom>
      <diagonal/>
    </border>
    <border>
      <left/>
      <right style="medium">
        <color rgb="FFD97706"/>
      </right>
      <top/>
      <bottom style="thin">
        <color rgb="FFD97706"/>
      </bottom>
      <diagonal/>
    </border>
    <border>
      <left style="medium">
        <color rgb="FF2563EB"/>
      </left>
      <right/>
      <top/>
      <bottom/>
      <diagonal/>
    </border>
    <border>
      <left style="medium">
        <color rgb="FF2563EB"/>
      </left>
      <right style="thin">
        <color rgb="FF2563EB"/>
      </right>
      <top/>
      <bottom/>
      <diagonal/>
    </border>
    <border>
      <left style="medium">
        <color rgb="FF2563EB"/>
      </left>
      <right style="thin">
        <color rgb="FF2563EB"/>
      </right>
      <top/>
      <bottom style="thin">
        <color rgb="FF2563EB"/>
      </bottom>
      <diagonal/>
    </border>
    <border>
      <left style="thin">
        <color rgb="FF2563EB"/>
      </left>
      <right/>
      <top/>
      <bottom/>
      <diagonal/>
    </border>
    <border>
      <left style="thin">
        <color rgb="FF2563EB"/>
      </left>
      <right style="medium">
        <color rgb="FF2563EB"/>
      </right>
      <top/>
      <bottom/>
      <diagonal/>
    </border>
    <border>
      <left style="thin">
        <color rgb="FF2563EB"/>
      </left>
      <right style="medium">
        <color rgb="FF2563EB"/>
      </right>
      <top/>
      <bottom style="thin">
        <color rgb="FF2563EB"/>
      </bottom>
      <diagonal/>
    </border>
    <border>
      <left style="medium">
        <color rgb="FF6D28D9"/>
      </left>
      <right/>
      <top/>
      <bottom/>
      <diagonal/>
    </border>
    <border>
      <left style="medium">
        <color rgb="FF6D28D9"/>
      </left>
      <right style="thin">
        <color rgb="FF6D28D9"/>
      </right>
      <top/>
      <bottom/>
      <diagonal/>
    </border>
    <border>
      <left style="medium">
        <color rgb="FF6D28D9"/>
      </left>
      <right style="thin">
        <color rgb="FF6D28D9"/>
      </right>
      <top/>
      <bottom style="thin">
        <color rgb="FF6D28D9"/>
      </bottom>
      <diagonal/>
    </border>
    <border>
      <left style="thin">
        <color rgb="FF6D28D9"/>
      </left>
      <right/>
      <top/>
      <bottom/>
      <diagonal/>
    </border>
    <border>
      <left style="thin">
        <color rgb="FF6D28D9"/>
      </left>
      <right style="medium">
        <color rgb="FF6D28D9"/>
      </right>
      <top/>
      <bottom/>
      <diagonal/>
    </border>
    <border>
      <left style="thin">
        <color rgb="FF6D28D9"/>
      </left>
      <right style="medium">
        <color rgb="FF6D28D9"/>
      </right>
      <top/>
      <bottom style="thin">
        <color rgb="FF6D28D9"/>
      </bottom>
      <diagonal/>
    </border>
    <border>
      <left style="medium">
        <color rgb="FF0D9488"/>
      </left>
      <right/>
      <top/>
      <bottom/>
      <diagonal/>
    </border>
    <border>
      <left style="medium">
        <color rgb="FF0D9488"/>
      </left>
      <right style="thin">
        <color rgb="FF0D9488"/>
      </right>
      <top/>
      <bottom/>
      <diagonal/>
    </border>
    <border>
      <left style="medium">
        <color rgb="FF0D9488"/>
      </left>
      <right style="thin">
        <color rgb="FF0D9488"/>
      </right>
      <top/>
      <bottom style="thin">
        <color rgb="FF0D9488"/>
      </bottom>
      <diagonal/>
    </border>
    <border>
      <left style="thin">
        <color rgb="FF0D9488"/>
      </left>
      <right/>
      <top/>
      <bottom/>
      <diagonal/>
    </border>
    <border>
      <left style="thin">
        <color rgb="FF0D9488"/>
      </left>
      <right style="medium">
        <color rgb="FF0D9488"/>
      </right>
      <top/>
      <bottom/>
      <diagonal/>
    </border>
    <border>
      <left style="thin">
        <color rgb="FF0D9488"/>
      </left>
      <right style="medium">
        <color rgb="FF0D9488"/>
      </right>
      <top/>
      <bottom style="thin">
        <color rgb="FF0D9488"/>
      </bottom>
      <diagonal/>
    </border>
    <border>
      <left style="medium">
        <color rgb="FFBE123C"/>
      </left>
      <right/>
      <top/>
      <bottom/>
      <diagonal/>
    </border>
    <border>
      <left style="medium">
        <color rgb="FFBE123C"/>
      </left>
      <right style="thin">
        <color rgb="FFBE123C"/>
      </right>
      <top/>
      <bottom/>
      <diagonal/>
    </border>
    <border>
      <left style="medium">
        <color rgb="FFBE123C"/>
      </left>
      <right style="thin">
        <color rgb="FFBE123C"/>
      </right>
      <top/>
      <bottom style="thin">
        <color rgb="FFBE123C"/>
      </bottom>
      <diagonal/>
    </border>
    <border>
      <left style="thin">
        <color rgb="FFBE123C"/>
      </left>
      <right/>
      <top/>
      <bottom/>
      <diagonal/>
    </border>
    <border>
      <left style="thin">
        <color rgb="FFBE123C"/>
      </left>
      <right style="medium">
        <color rgb="FFBE123C"/>
      </right>
      <top/>
      <bottom/>
      <diagonal/>
    </border>
    <border>
      <left style="thin">
        <color rgb="FFBE123C"/>
      </left>
      <right style="medium">
        <color rgb="FFBE123C"/>
      </right>
      <top/>
      <bottom style="thin">
        <color rgb="FFBE123C"/>
      </bottom>
      <diagonal/>
    </border>
    <border>
      <left/>
      <right style="medium">
        <color rgb="FF90A4AE"/>
      </right>
      <top style="thin">
        <color rgb="FF90A4AE"/>
      </top>
      <bottom/>
      <diagonal/>
    </border>
    <border>
      <left/>
      <right style="medium">
        <color rgb="FF90A4AE"/>
      </right>
      <top style="thin">
        <color rgb="FF90A4AE"/>
      </top>
      <bottom style="thin">
        <color rgb="FF90A4AE"/>
      </bottom>
      <diagonal/>
    </border>
    <border>
      <left style="medium">
        <color rgb="FF90A4AE"/>
      </left>
      <right/>
      <top/>
      <bottom/>
      <diagonal/>
    </border>
    <border>
      <left/>
      <right style="medium">
        <color rgb="FF90A4AE"/>
      </right>
      <top/>
      <bottom/>
      <diagonal/>
    </border>
    <border>
      <left style="medium">
        <color rgb="FF90A4AE"/>
      </left>
      <right/>
      <top/>
      <bottom style="thin">
        <color rgb="FF90A4AE"/>
      </bottom>
      <diagonal/>
    </border>
    <border>
      <left/>
      <right/>
      <top/>
      <bottom style="thin">
        <color rgb="FF90A4AE"/>
      </bottom>
      <diagonal/>
    </border>
    <border>
      <left/>
      <right style="medium">
        <color rgb="FF90A4AE"/>
      </right>
      <top/>
      <bottom style="thin">
        <color rgb="FF90A4AE"/>
      </bottom>
      <diagonal/>
    </border>
    <border>
      <left style="thin">
        <color rgb="0090A4AE"/>
      </left>
      <right style="thin">
        <color rgb="0090A4AE"/>
      </right>
      <top style="thin">
        <color rgb="0090A4AE"/>
      </top>
      <bottom style="thin">
        <color rgb="0090A4AE"/>
      </bottom>
    </border>
    <border>
      <left style="thin">
        <color rgb="0090A4AE"/>
      </left>
      <right style="thin">
        <color rgb="0090A4AE"/>
      </right>
      <top style="medium">
        <color rgb="001B3A5F"/>
      </top>
      <bottom style="thin">
        <color rgb="0090A4AE"/>
      </bottom>
    </border>
    <border>
      <left style="thin">
        <color rgb="0090A4AE"/>
      </left>
      <right style="thin">
        <color rgb="0090A4AE"/>
      </right>
      <top style="hair">
        <color rgb="00CFD8DC"/>
      </top>
      <bottom style="hair">
        <color rgb="00CFD8DC"/>
      </bottom>
    </border>
    <border>
      <left style="thin">
        <color rgb="0090A4AE"/>
      </left>
      <right/>
      <top/>
      <bottom/>
      <diagonal/>
    </border>
    <border>
      <left style="thin">
        <color rgb="0090A4AE"/>
      </left>
      <right style="thin">
        <color rgb="0090A4AE"/>
      </right>
      <top/>
      <bottom/>
      <diagonal/>
    </border>
    <border>
      <left style="thin">
        <color rgb="0090A4AE"/>
      </left>
      <right style="thin">
        <color rgb="0090A4AE"/>
      </right>
      <top/>
      <bottom style="thin">
        <color rgb="0090A4AE"/>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261">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2" borderId="1" applyAlignment="1" pivotButton="0" quotePrefix="0" xfId="0">
      <alignment horizontal="center" vertical="center" wrapText="1"/>
    </xf>
    <xf numFmtId="0" fontId="5" fillId="3" borderId="0" applyAlignment="1" pivotButton="0" quotePrefix="0" xfId="0">
      <alignment horizontal="center" vertical="center" wrapText="1"/>
    </xf>
    <xf numFmtId="0" fontId="6" fillId="4" borderId="1" applyAlignment="1" pivotButton="0" quotePrefix="0" xfId="0">
      <alignment horizontal="center" vertical="center"/>
    </xf>
    <xf numFmtId="49" fontId="6" fillId="4" borderId="1" applyAlignment="1" pivotButton="0" quotePrefix="0" xfId="0">
      <alignment horizontal="center" vertical="center"/>
    </xf>
    <xf numFmtId="0" fontId="6" fillId="4" borderId="1" applyAlignment="1" pivotButton="0" quotePrefix="0" xfId="0">
      <alignment horizontal="left" vertical="center" wrapText="1"/>
    </xf>
    <xf numFmtId="0" fontId="6" fillId="4" borderId="1" applyAlignment="1" pivotButton="0" quotePrefix="0" xfId="0">
      <alignment horizontal="left" vertical="center"/>
    </xf>
    <xf numFmtId="0" fontId="7" fillId="0" borderId="1" applyAlignment="1" pivotButton="0" quotePrefix="0" xfId="0">
      <alignment horizontal="center" vertical="center"/>
    </xf>
    <xf numFmtId="0" fontId="8" fillId="0" borderId="2" applyAlignment="1" pivotButton="0" quotePrefix="0" xfId="0">
      <alignment horizontal="center" vertical="center"/>
    </xf>
    <xf numFmtId="0" fontId="6" fillId="0" borderId="1" applyAlignment="1" pivotButton="0" quotePrefix="0" xfId="0">
      <alignment horizontal="center" vertical="center"/>
    </xf>
    <xf numFmtId="49" fontId="6" fillId="0" borderId="1" applyAlignment="1" pivotButton="0" quotePrefix="0" xfId="0">
      <alignment horizontal="center" vertical="center"/>
    </xf>
    <xf numFmtId="0" fontId="6" fillId="0" borderId="1" applyAlignment="1" pivotButton="0" quotePrefix="0" xfId="0">
      <alignment horizontal="left" vertical="center" wrapText="1"/>
    </xf>
    <xf numFmtId="0" fontId="6" fillId="0" borderId="1" applyAlignment="1" pivotButton="0" quotePrefix="0" xfId="0">
      <alignment horizontal="left" vertical="center"/>
    </xf>
    <xf numFmtId="0" fontId="4" fillId="5" borderId="1" applyAlignment="1" pivotButton="0" quotePrefix="0" xfId="0">
      <alignment horizontal="center" vertical="center" wrapText="1"/>
    </xf>
    <xf numFmtId="0" fontId="9" fillId="6" borderId="1" applyAlignment="1" pivotButton="0" quotePrefix="0" xfId="0">
      <alignment horizontal="left" vertical="center"/>
    </xf>
    <xf numFmtId="0" fontId="10" fillId="7" borderId="1" applyAlignment="1" pivotButton="0" quotePrefix="0" xfId="0">
      <alignment horizontal="center" vertical="center"/>
    </xf>
    <xf numFmtId="0" fontId="11" fillId="8" borderId="1" applyAlignment="1" pivotButton="0" quotePrefix="0" xfId="0">
      <alignment horizontal="left" vertical="center"/>
    </xf>
    <xf numFmtId="0" fontId="12" fillId="9" borderId="1" applyAlignment="1" pivotButton="0" quotePrefix="0" xfId="0">
      <alignment horizontal="center" vertical="center"/>
    </xf>
    <xf numFmtId="0" fontId="13" fillId="0" borderId="1" applyAlignment="1" pivotButton="0" quotePrefix="0" xfId="0">
      <alignment horizontal="left" vertical="center"/>
    </xf>
    <xf numFmtId="0" fontId="14" fillId="10" borderId="1" applyAlignment="1" pivotButton="0" quotePrefix="0" xfId="0">
      <alignment horizontal="left" vertical="center"/>
    </xf>
    <xf numFmtId="0" fontId="13" fillId="4" borderId="1" applyAlignment="1" pivotButton="0" quotePrefix="0" xfId="0">
      <alignment horizontal="left" vertical="center"/>
    </xf>
    <xf numFmtId="0" fontId="15" fillId="11" borderId="1" applyAlignment="1" pivotButton="0" quotePrefix="0" xfId="0">
      <alignment horizontal="left" vertical="center"/>
    </xf>
    <xf numFmtId="0" fontId="16" fillId="2" borderId="0" applyAlignment="1" pivotButton="0" quotePrefix="0" xfId="0">
      <alignment horizontal="center" vertical="center"/>
    </xf>
    <xf numFmtId="0" fontId="17" fillId="2" borderId="0" applyAlignment="1" pivotButton="0" quotePrefix="0" xfId="0">
      <alignment horizontal="left" vertical="center" indent="1"/>
    </xf>
    <xf numFmtId="0" fontId="17" fillId="12" borderId="0" applyAlignment="1" pivotButton="0" quotePrefix="0" xfId="0">
      <alignment horizontal="left" vertical="center" indent="1"/>
    </xf>
    <xf numFmtId="0" fontId="18" fillId="4" borderId="1" applyAlignment="1" pivotButton="0" quotePrefix="0" xfId="0">
      <alignment horizontal="general" vertical="center"/>
    </xf>
    <xf numFmtId="1" fontId="19" fillId="4" borderId="1" applyAlignment="1" pivotButton="0" quotePrefix="0" xfId="0">
      <alignment horizontal="center" vertical="center"/>
    </xf>
    <xf numFmtId="0" fontId="19" fillId="4" borderId="1" applyAlignment="1" pivotButton="0" quotePrefix="0" xfId="0">
      <alignment horizontal="center" vertical="center"/>
    </xf>
    <xf numFmtId="0" fontId="18" fillId="0" borderId="1" applyAlignment="1" pivotButton="0" quotePrefix="0" xfId="0">
      <alignment horizontal="general" vertical="center"/>
    </xf>
    <xf numFmtId="1" fontId="19" fillId="0" borderId="1" applyAlignment="1" pivotButton="0" quotePrefix="0" xfId="0">
      <alignment horizontal="center" vertical="center"/>
    </xf>
    <xf numFmtId="0" fontId="19" fillId="0" borderId="1" applyAlignment="1" pivotButton="0" quotePrefix="0" xfId="0">
      <alignment horizontal="center" vertical="center"/>
    </xf>
    <xf numFmtId="164" fontId="19" fillId="0" borderId="1" applyAlignment="1" pivotButton="0" quotePrefix="0" xfId="0">
      <alignment horizontal="center" vertical="center"/>
    </xf>
    <xf numFmtId="0" fontId="17" fillId="5" borderId="0" applyAlignment="1" pivotButton="0" quotePrefix="0" xfId="0">
      <alignment horizontal="left" vertical="center" indent="1"/>
    </xf>
    <xf numFmtId="165" fontId="19" fillId="0" borderId="1" applyAlignment="1" pivotButton="0" quotePrefix="0" xfId="0">
      <alignment horizontal="center" vertical="center"/>
    </xf>
    <xf numFmtId="0" fontId="17" fillId="13" borderId="0" applyAlignment="1" pivotButton="0" quotePrefix="0" xfId="0">
      <alignment horizontal="left" vertical="center" indent="1"/>
    </xf>
    <xf numFmtId="0" fontId="17" fillId="14" borderId="0" applyAlignment="1" pivotButton="0" quotePrefix="0" xfId="0">
      <alignment horizontal="left" vertical="center" indent="1"/>
    </xf>
    <xf numFmtId="0" fontId="20" fillId="3" borderId="0" applyAlignment="1" pivotButton="0" quotePrefix="0" xfId="0">
      <alignment horizontal="center" vertical="center"/>
    </xf>
    <xf numFmtId="0" fontId="21" fillId="15" borderId="0" applyAlignment="1" pivotButton="0" quotePrefix="0" xfId="0">
      <alignment horizontal="left" vertical="center" indent="1"/>
    </xf>
    <xf numFmtId="0" fontId="22" fillId="16" borderId="2" applyAlignment="1" pivotButton="0" quotePrefix="0" xfId="0">
      <alignment horizontal="center" vertical="center"/>
    </xf>
    <xf numFmtId="0" fontId="18" fillId="17" borderId="2" applyAlignment="1" pivotButton="0" quotePrefix="0" xfId="0">
      <alignment horizontal="left" vertical="center"/>
    </xf>
    <xf numFmtId="0" fontId="6" fillId="17" borderId="2" applyAlignment="1" pivotButton="0" quotePrefix="0" xfId="0">
      <alignment horizontal="center" vertical="center"/>
    </xf>
    <xf numFmtId="0" fontId="6" fillId="17" borderId="2" applyAlignment="1" pivotButton="0" quotePrefix="0" xfId="0">
      <alignment horizontal="left" vertical="center" wrapText="1"/>
    </xf>
    <xf numFmtId="0" fontId="18" fillId="0" borderId="2" applyAlignment="1" pivotButton="0" quotePrefix="0" xfId="0">
      <alignment horizontal="left" vertical="center"/>
    </xf>
    <xf numFmtId="0" fontId="6" fillId="0" borderId="2" applyAlignment="1" pivotButton="0" quotePrefix="0" xfId="0">
      <alignment horizontal="center" vertical="center"/>
    </xf>
    <xf numFmtId="0" fontId="6" fillId="0" borderId="2" applyAlignment="1" pivotButton="0" quotePrefix="0" xfId="0">
      <alignment horizontal="left" vertical="center" wrapText="1"/>
    </xf>
    <xf numFmtId="0" fontId="23" fillId="16" borderId="2" applyAlignment="1" pivotButton="0" quotePrefix="0" xfId="0">
      <alignment horizontal="center" vertical="center"/>
    </xf>
    <xf numFmtId="0" fontId="24" fillId="18" borderId="2" applyAlignment="1" pivotButton="0" quotePrefix="0" xfId="0">
      <alignment horizontal="general" vertical="center"/>
    </xf>
    <xf numFmtId="0" fontId="24" fillId="18" borderId="2" applyAlignment="1" pivotButton="0" quotePrefix="0" xfId="0">
      <alignment horizontal="center" vertical="center"/>
    </xf>
    <xf numFmtId="0" fontId="25" fillId="7" borderId="2" applyAlignment="1" pivotButton="0" quotePrefix="0" xfId="0">
      <alignment horizontal="center" vertical="center"/>
    </xf>
    <xf numFmtId="0" fontId="24" fillId="17" borderId="2" applyAlignment="1" pivotButton="0" quotePrefix="0" xfId="0">
      <alignment horizontal="general" vertical="center"/>
    </xf>
    <xf numFmtId="0" fontId="24" fillId="17" borderId="2" applyAlignment="1" pivotButton="0" quotePrefix="0" xfId="0">
      <alignment horizontal="center" vertical="center"/>
    </xf>
    <xf numFmtId="0" fontId="24" fillId="0" borderId="2" applyAlignment="1" pivotButton="0" quotePrefix="0" xfId="0">
      <alignment horizontal="general" vertical="center"/>
    </xf>
    <xf numFmtId="0" fontId="24" fillId="0" borderId="2" applyAlignment="1" pivotButton="0" quotePrefix="0" xfId="0">
      <alignment horizontal="center" vertical="center"/>
    </xf>
    <xf numFmtId="0" fontId="26" fillId="19" borderId="2" applyAlignment="1" pivotButton="0" quotePrefix="0" xfId="0">
      <alignment horizontal="center" vertical="center"/>
    </xf>
    <xf numFmtId="0" fontId="20" fillId="2" borderId="0" applyAlignment="1" pivotButton="0" quotePrefix="0" xfId="0">
      <alignment horizontal="center" vertical="center"/>
    </xf>
    <xf numFmtId="0" fontId="4" fillId="16" borderId="2" applyAlignment="1" pivotButton="0" quotePrefix="0" xfId="0">
      <alignment horizontal="center" vertical="center"/>
    </xf>
    <xf numFmtId="0" fontId="5" fillId="5" borderId="2" applyAlignment="1" pivotButton="0" quotePrefix="0" xfId="0">
      <alignment horizontal="center" vertical="center" wrapText="1"/>
    </xf>
    <xf numFmtId="0" fontId="5" fillId="12" borderId="2" applyAlignment="1" pivotButton="0" quotePrefix="0" xfId="0">
      <alignment horizontal="center" vertical="center" wrapText="1"/>
    </xf>
    <xf numFmtId="0" fontId="0" fillId="17" borderId="2" applyAlignment="1" pivotButton="0" quotePrefix="0" xfId="0">
      <alignment horizontal="general" vertical="bottom"/>
    </xf>
    <xf numFmtId="0" fontId="27" fillId="9" borderId="2" applyAlignment="1" pivotButton="0" quotePrefix="0" xfId="0">
      <alignment horizontal="center" vertical="center"/>
    </xf>
    <xf numFmtId="49" fontId="24" fillId="18" borderId="3" applyAlignment="1" pivotButton="0" quotePrefix="0" xfId="0">
      <alignment horizontal="center" vertical="center"/>
    </xf>
    <xf numFmtId="49" fontId="28" fillId="18" borderId="3" applyAlignment="1" pivotButton="0" quotePrefix="0" xfId="0">
      <alignment horizontal="center" vertical="center"/>
    </xf>
    <xf numFmtId="0" fontId="29" fillId="0" borderId="3" applyAlignment="1" pivotButton="0" quotePrefix="0" xfId="0">
      <alignment horizontal="center" vertical="center" wrapText="1"/>
    </xf>
    <xf numFmtId="49" fontId="24" fillId="0" borderId="2" applyAlignment="1" pivotButton="0" quotePrefix="0" xfId="0">
      <alignment horizontal="center" vertical="center"/>
    </xf>
    <xf numFmtId="49" fontId="30" fillId="0" borderId="2" applyAlignment="1" pivotButton="0" quotePrefix="0" xfId="0">
      <alignment horizontal="center" vertical="center"/>
    </xf>
    <xf numFmtId="0" fontId="29" fillId="0" borderId="4" applyAlignment="1" pivotButton="0" quotePrefix="0" xfId="0">
      <alignment horizontal="center" vertical="center" wrapText="1"/>
    </xf>
    <xf numFmtId="49" fontId="24" fillId="17" borderId="2" applyAlignment="1" pivotButton="0" quotePrefix="0" xfId="0">
      <alignment horizontal="center" vertical="center"/>
    </xf>
    <xf numFmtId="49" fontId="28" fillId="17" borderId="2" applyAlignment="1" pivotButton="0" quotePrefix="0" xfId="0">
      <alignment horizontal="center" vertical="center"/>
    </xf>
    <xf numFmtId="0" fontId="31" fillId="0" borderId="0" applyAlignment="1" pivotButton="0" quotePrefix="0" xfId="0">
      <alignment horizontal="center" vertical="bottom" wrapText="1"/>
    </xf>
    <xf numFmtId="0" fontId="21" fillId="2" borderId="2" applyAlignment="1" pivotButton="0" quotePrefix="0" xfId="0">
      <alignment horizontal="center" vertical="center"/>
    </xf>
    <xf numFmtId="0" fontId="0" fillId="20" borderId="0" applyAlignment="1" pivotButton="0" quotePrefix="0" xfId="0">
      <alignment horizontal="general" vertical="bottom"/>
    </xf>
    <xf numFmtId="0" fontId="21" fillId="21" borderId="2" applyAlignment="1" pivotButton="0" quotePrefix="0" xfId="0">
      <alignment horizontal="center" vertical="center"/>
    </xf>
    <xf numFmtId="0" fontId="5" fillId="15" borderId="2" applyAlignment="1" pivotButton="0" quotePrefix="0" xfId="0">
      <alignment horizontal="center" vertical="center"/>
    </xf>
    <xf numFmtId="0" fontId="5" fillId="5" borderId="2" applyAlignment="1" pivotButton="0" quotePrefix="0" xfId="0">
      <alignment horizontal="center" vertical="center"/>
    </xf>
    <xf numFmtId="0" fontId="5" fillId="22" borderId="2" applyAlignment="1" pivotButton="0" quotePrefix="0" xfId="0">
      <alignment horizontal="center" vertical="center"/>
    </xf>
    <xf numFmtId="0" fontId="5" fillId="14" borderId="2" applyAlignment="1" pivotButton="0" quotePrefix="0" xfId="0">
      <alignment horizontal="center" vertical="center"/>
    </xf>
    <xf numFmtId="0" fontId="5" fillId="23" borderId="2" applyAlignment="1" pivotButton="0" quotePrefix="0" xfId="0">
      <alignment horizontal="center" vertical="center"/>
    </xf>
    <xf numFmtId="0" fontId="32" fillId="17" borderId="2" applyAlignment="1" pivotButton="0" quotePrefix="0" xfId="0">
      <alignment horizontal="center" vertical="center"/>
    </xf>
    <xf numFmtId="0" fontId="0" fillId="0" borderId="2" applyAlignment="1" pivotButton="0" quotePrefix="0" xfId="0">
      <alignment horizontal="general" vertical="bottom"/>
    </xf>
    <xf numFmtId="0" fontId="33" fillId="17" borderId="2" applyAlignment="1" pivotButton="0" quotePrefix="0" xfId="0">
      <alignment horizontal="center" vertical="center"/>
    </xf>
    <xf numFmtId="0" fontId="34" fillId="24" borderId="5" applyAlignment="1" pivotButton="0" quotePrefix="0" xfId="0">
      <alignment horizontal="center" vertical="center" wrapText="1"/>
    </xf>
    <xf numFmtId="0" fontId="35" fillId="25" borderId="6" applyAlignment="1" pivotButton="0" quotePrefix="0" xfId="0">
      <alignment horizontal="center" vertical="center" wrapText="1"/>
    </xf>
    <xf numFmtId="0" fontId="36" fillId="25" borderId="7" applyAlignment="1" pivotButton="0" quotePrefix="0" xfId="0">
      <alignment horizontal="center" vertical="center" wrapText="1"/>
    </xf>
    <xf numFmtId="0" fontId="37" fillId="26" borderId="8" applyAlignment="1" pivotButton="0" quotePrefix="0" xfId="0">
      <alignment horizontal="center" vertical="center" wrapText="1"/>
    </xf>
    <xf numFmtId="0" fontId="38" fillId="26" borderId="9" applyAlignment="1" pivotButton="0" quotePrefix="0" xfId="0">
      <alignment horizontal="center" vertical="center" wrapText="1"/>
    </xf>
    <xf numFmtId="0" fontId="39" fillId="27" borderId="10" applyAlignment="1" pivotButton="0" quotePrefix="0" xfId="0">
      <alignment horizontal="center" vertical="center" wrapText="1"/>
    </xf>
    <xf numFmtId="0" fontId="40" fillId="27" borderId="11" applyAlignment="1" pivotButton="0" quotePrefix="0" xfId="0">
      <alignment horizontal="center" vertical="center" wrapText="1"/>
    </xf>
    <xf numFmtId="0" fontId="41" fillId="28" borderId="12" applyAlignment="1" pivotButton="0" quotePrefix="0" xfId="0">
      <alignment horizontal="center" vertical="center" wrapText="1"/>
    </xf>
    <xf numFmtId="0" fontId="42" fillId="28" borderId="13" applyAlignment="1" pivotButton="0" quotePrefix="0" xfId="0">
      <alignment horizontal="center" vertical="center" wrapText="1"/>
    </xf>
    <xf numFmtId="0" fontId="43" fillId="29" borderId="14" applyAlignment="1" pivotButton="0" quotePrefix="0" xfId="0">
      <alignment horizontal="center" vertical="center" wrapText="1"/>
    </xf>
    <xf numFmtId="0" fontId="4" fillId="14" borderId="1" applyAlignment="1" pivotButton="0" quotePrefix="0" xfId="0">
      <alignment horizontal="center" vertical="center"/>
    </xf>
    <xf numFmtId="0" fontId="6" fillId="4" borderId="1" applyAlignment="1" pivotButton="0" quotePrefix="0" xfId="0">
      <alignment horizontal="general" vertical="center"/>
    </xf>
    <xf numFmtId="0" fontId="6" fillId="4" borderId="1" applyAlignment="1" pivotButton="0" quotePrefix="0" xfId="0">
      <alignment horizontal="general" vertical="center" wrapText="1"/>
    </xf>
    <xf numFmtId="0" fontId="6" fillId="0" borderId="1" applyAlignment="1" pivotButton="0" quotePrefix="0" xfId="0">
      <alignment horizontal="general" vertical="center"/>
    </xf>
    <xf numFmtId="0" fontId="6" fillId="0" borderId="1" applyAlignment="1" pivotButton="0" quotePrefix="0" xfId="0">
      <alignment horizontal="general" vertical="center" wrapText="1"/>
    </xf>
    <xf numFmtId="0" fontId="44" fillId="0" borderId="0" applyAlignment="1" pivotButton="0" quotePrefix="0" xfId="0">
      <alignment horizontal="general" vertical="center" wrapText="1"/>
    </xf>
    <xf numFmtId="0" fontId="6" fillId="0" borderId="0" applyAlignment="1" pivotButton="0" quotePrefix="0" xfId="0">
      <alignment horizontal="general" vertical="center" wrapText="1"/>
    </xf>
    <xf numFmtId="0" fontId="45" fillId="0" borderId="0" applyAlignment="1" pivotButton="0" quotePrefix="0" xfId="0">
      <alignment horizontal="general" vertical="center" wrapText="1"/>
    </xf>
    <xf numFmtId="0" fontId="46" fillId="0" borderId="0" applyAlignment="1" pivotButton="0" quotePrefix="0" xfId="0">
      <alignment horizontal="general" vertical="center" wrapText="1"/>
    </xf>
    <xf numFmtId="0" fontId="47" fillId="0" borderId="0" applyAlignment="1" pivotButton="0" quotePrefix="0" xfId="0">
      <alignment horizontal="general" vertical="center" wrapText="1"/>
    </xf>
    <xf numFmtId="0" fontId="48" fillId="0" borderId="0" applyAlignment="1" pivotButton="0" quotePrefix="0" xfId="0">
      <alignment horizontal="general" vertical="center" wrapText="1"/>
    </xf>
    <xf numFmtId="0" fontId="49" fillId="0" borderId="0" applyAlignment="1" pivotButton="0" quotePrefix="0" xfId="0">
      <alignment horizontal="general" vertical="center" wrapText="1"/>
    </xf>
    <xf numFmtId="0" fontId="50" fillId="0" borderId="0" applyAlignment="1" pivotButton="0" quotePrefix="0" xfId="0">
      <alignment horizontal="general" vertical="center" wrapText="1"/>
    </xf>
    <xf numFmtId="0" fontId="51" fillId="0" borderId="0" applyAlignment="1" pivotButton="0" quotePrefix="0" xfId="0">
      <alignment horizontal="general" vertical="center" wrapText="1"/>
    </xf>
    <xf numFmtId="0" fontId="52" fillId="0" borderId="0" applyAlignment="1" pivotButton="0" quotePrefix="0" xfId="0">
      <alignment horizontal="general" vertical="center" wrapText="1"/>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center" vertical="center" wrapText="1"/>
    </xf>
    <xf numFmtId="0" fontId="73" fillId="30" borderId="0" applyAlignment="1" pivotButton="0" quotePrefix="0" xfId="0">
      <alignment horizontal="center" vertical="center" wrapText="1"/>
    </xf>
    <xf numFmtId="0" fontId="6" fillId="4" borderId="1" applyAlignment="1" pivotButton="0" quotePrefix="0" xfId="0">
      <alignment horizontal="center" vertical="center"/>
    </xf>
    <xf numFmtId="49" fontId="6" fillId="4" borderId="1" applyAlignment="1" pivotButton="0" quotePrefix="0" xfId="0">
      <alignment horizontal="center" vertical="center"/>
    </xf>
    <xf numFmtId="0" fontId="6" fillId="4" borderId="1" applyAlignment="1" pivotButton="0" quotePrefix="0" xfId="0">
      <alignment horizontal="left" vertical="center" wrapText="1"/>
    </xf>
    <xf numFmtId="0" fontId="6" fillId="4" borderId="1" applyAlignment="1" pivotButton="0" quotePrefix="0" xfId="0">
      <alignment horizontal="left" vertical="center"/>
    </xf>
    <xf numFmtId="0" fontId="7" fillId="0" borderId="1" applyAlignment="1" pivotButton="0" quotePrefix="0" xfId="0">
      <alignment horizontal="center" vertical="center"/>
    </xf>
    <xf numFmtId="0" fontId="74" fillId="0" borderId="57" applyAlignment="1" pivotButton="0" quotePrefix="0" xfId="0">
      <alignment horizontal="center" vertical="center"/>
    </xf>
    <xf numFmtId="0" fontId="6" fillId="0" borderId="1" applyAlignment="1" pivotButton="0" quotePrefix="0" xfId="0">
      <alignment horizontal="center" vertical="center"/>
    </xf>
    <xf numFmtId="49" fontId="6" fillId="0" borderId="1" applyAlignment="1" pivotButton="0" quotePrefix="0" xfId="0">
      <alignment horizontal="center" vertical="center"/>
    </xf>
    <xf numFmtId="0" fontId="6" fillId="0" borderId="1" applyAlignment="1" pivotButton="0" quotePrefix="0" xfId="0">
      <alignment horizontal="left" vertical="center" wrapText="1"/>
    </xf>
    <xf numFmtId="0" fontId="6" fillId="0" borderId="1" applyAlignment="1" pivotButton="0" quotePrefix="0" xfId="0">
      <alignment horizontal="left" vertical="center"/>
    </xf>
    <xf numFmtId="0" fontId="4" fillId="5" borderId="1" applyAlignment="1" pivotButton="0" quotePrefix="0" xfId="0">
      <alignment horizontal="center" vertical="center" wrapText="1"/>
    </xf>
    <xf numFmtId="0" fontId="9" fillId="6" borderId="1" applyAlignment="1" pivotButton="0" quotePrefix="0" xfId="0">
      <alignment horizontal="left" vertical="center"/>
    </xf>
    <xf numFmtId="0" fontId="10" fillId="7" borderId="1" applyAlignment="1" pivotButton="0" quotePrefix="0" xfId="0">
      <alignment horizontal="center" vertical="center"/>
    </xf>
    <xf numFmtId="0" fontId="11" fillId="8" borderId="1" applyAlignment="1" pivotButton="0" quotePrefix="0" xfId="0">
      <alignment horizontal="left" vertical="center"/>
    </xf>
    <xf numFmtId="0" fontId="12" fillId="9" borderId="1" applyAlignment="1" pivotButton="0" quotePrefix="0" xfId="0">
      <alignment horizontal="center" vertical="center"/>
    </xf>
    <xf numFmtId="0" fontId="13" fillId="0" borderId="1" applyAlignment="1" pivotButton="0" quotePrefix="0" xfId="0">
      <alignment horizontal="left" vertical="center"/>
    </xf>
    <xf numFmtId="0" fontId="14" fillId="10" borderId="1" applyAlignment="1" pivotButton="0" quotePrefix="0" xfId="0">
      <alignment horizontal="left" vertical="center"/>
    </xf>
    <xf numFmtId="0" fontId="13" fillId="4" borderId="1" applyAlignment="1" pivotButton="0" quotePrefix="0" xfId="0">
      <alignment horizontal="left" vertical="center"/>
    </xf>
    <xf numFmtId="0" fontId="15" fillId="11" borderId="1" applyAlignment="1" pivotButton="0" quotePrefix="0" xfId="0">
      <alignment horizontal="left" vertical="center"/>
    </xf>
    <xf numFmtId="0" fontId="16" fillId="2" borderId="0" applyAlignment="1" pivotButton="0" quotePrefix="0" xfId="0">
      <alignment horizontal="center" vertical="center"/>
    </xf>
    <xf numFmtId="0" fontId="17" fillId="2" borderId="0" applyAlignment="1" pivotButton="0" quotePrefix="0" xfId="0">
      <alignment horizontal="left" vertical="center" indent="1"/>
    </xf>
    <xf numFmtId="0" fontId="17" fillId="12" borderId="0" applyAlignment="1" pivotButton="0" quotePrefix="0" xfId="0">
      <alignment horizontal="left" vertical="center" indent="1"/>
    </xf>
    <xf numFmtId="0" fontId="18" fillId="4" borderId="1" applyAlignment="1" pivotButton="0" quotePrefix="0" xfId="0">
      <alignment horizontal="general" vertical="center"/>
    </xf>
    <xf numFmtId="1" fontId="19" fillId="4" borderId="1" applyAlignment="1" pivotButton="0" quotePrefix="0" xfId="0">
      <alignment horizontal="center" vertical="center"/>
    </xf>
    <xf numFmtId="0" fontId="19" fillId="4" borderId="1" applyAlignment="1" pivotButton="0" quotePrefix="0" xfId="0">
      <alignment horizontal="center" vertical="center"/>
    </xf>
    <xf numFmtId="0" fontId="18" fillId="0" borderId="1" applyAlignment="1" pivotButton="0" quotePrefix="0" xfId="0">
      <alignment horizontal="general" vertical="center"/>
    </xf>
    <xf numFmtId="1" fontId="19" fillId="0" borderId="1" applyAlignment="1" pivotButton="0" quotePrefix="0" xfId="0">
      <alignment horizontal="center" vertical="center"/>
    </xf>
    <xf numFmtId="0" fontId="19" fillId="0" borderId="1" applyAlignment="1" pivotButton="0" quotePrefix="0" xfId="0">
      <alignment horizontal="center" vertical="center"/>
    </xf>
    <xf numFmtId="164" fontId="19" fillId="0" borderId="1" applyAlignment="1" pivotButton="0" quotePrefix="0" xfId="0">
      <alignment horizontal="center" vertical="center"/>
    </xf>
    <xf numFmtId="0" fontId="17" fillId="5" borderId="0" applyAlignment="1" pivotButton="0" quotePrefix="0" xfId="0">
      <alignment horizontal="left" vertical="center" indent="1"/>
    </xf>
    <xf numFmtId="165" fontId="19" fillId="0" borderId="1" applyAlignment="1" pivotButton="0" quotePrefix="0" xfId="0">
      <alignment horizontal="center" vertical="center"/>
    </xf>
    <xf numFmtId="0" fontId="17" fillId="13" borderId="0" applyAlignment="1" pivotButton="0" quotePrefix="0" xfId="0">
      <alignment horizontal="left" vertical="center" indent="1"/>
    </xf>
    <xf numFmtId="0" fontId="17" fillId="14" borderId="0" applyAlignment="1" pivotButton="0" quotePrefix="0" xfId="0">
      <alignment horizontal="left" vertical="center" indent="1"/>
    </xf>
    <xf numFmtId="0" fontId="53" fillId="30" borderId="0" applyAlignment="1" pivotButton="0" quotePrefix="0" xfId="0">
      <alignment horizontal="center" vertical="center"/>
    </xf>
    <xf numFmtId="0" fontId="0" fillId="30" borderId="0" pivotButton="0" quotePrefix="0" xfId="0"/>
    <xf numFmtId="0" fontId="54" fillId="31" borderId="57" applyAlignment="1" pivotButton="0" quotePrefix="0" xfId="0">
      <alignment horizontal="center" vertical="center"/>
    </xf>
    <xf numFmtId="0" fontId="55" fillId="32" borderId="57" applyAlignment="1" pivotButton="0" quotePrefix="0" xfId="0">
      <alignment horizontal="center" vertical="center" wrapText="1"/>
    </xf>
    <xf numFmtId="0" fontId="55" fillId="33" borderId="57" applyAlignment="1" pivotButton="0" quotePrefix="0" xfId="0">
      <alignment horizontal="center" vertical="center" wrapText="1"/>
    </xf>
    <xf numFmtId="0" fontId="0" fillId="34" borderId="57" pivotButton="0" quotePrefix="0" xfId="0"/>
    <xf numFmtId="0" fontId="56" fillId="34" borderId="57" applyAlignment="1" pivotButton="0" quotePrefix="0" xfId="0">
      <alignment horizontal="center" vertical="center"/>
    </xf>
    <xf numFmtId="0" fontId="57" fillId="34" borderId="57" applyAlignment="1" pivotButton="0" quotePrefix="0" xfId="0">
      <alignment horizontal="center" vertical="center"/>
    </xf>
    <xf numFmtId="49" fontId="58" fillId="35" borderId="58" applyAlignment="1" pivotButton="0" quotePrefix="0" xfId="0">
      <alignment horizontal="center" vertical="center"/>
    </xf>
    <xf numFmtId="49" fontId="59" fillId="35" borderId="58" applyAlignment="1" pivotButton="0" quotePrefix="0" xfId="0">
      <alignment horizontal="center" vertical="center"/>
    </xf>
    <xf numFmtId="0" fontId="60" fillId="36" borderId="58" applyAlignment="1" pivotButton="0" quotePrefix="0" xfId="0">
      <alignment horizontal="center" vertical="center" wrapText="1"/>
    </xf>
    <xf numFmtId="0" fontId="61" fillId="37" borderId="58" applyAlignment="1" pivotButton="0" quotePrefix="0" xfId="0">
      <alignment horizontal="center" vertical="center" wrapText="1"/>
    </xf>
    <xf numFmtId="49" fontId="58" fillId="0" borderId="57" applyAlignment="1" pivotButton="0" quotePrefix="0" xfId="0">
      <alignment horizontal="center" vertical="center"/>
    </xf>
    <xf numFmtId="49" fontId="62" fillId="0" borderId="57" applyAlignment="1" pivotButton="0" quotePrefix="0" xfId="0">
      <alignment horizontal="center" vertical="center"/>
    </xf>
    <xf numFmtId="0" fontId="60" fillId="36" borderId="59" applyAlignment="1" pivotButton="0" quotePrefix="0" xfId="0">
      <alignment horizontal="center" vertical="center" wrapText="1"/>
    </xf>
    <xf numFmtId="0" fontId="61" fillId="37" borderId="59" applyAlignment="1" pivotButton="0" quotePrefix="0" xfId="0">
      <alignment horizontal="center" vertical="center" wrapText="1"/>
    </xf>
    <xf numFmtId="49" fontId="58" fillId="34" borderId="57" applyAlignment="1" pivotButton="0" quotePrefix="0" xfId="0">
      <alignment horizontal="center" vertical="center"/>
    </xf>
    <xf numFmtId="49" fontId="59" fillId="34" borderId="57" applyAlignment="1" pivotButton="0" quotePrefix="0" xfId="0">
      <alignment horizontal="center" vertical="center"/>
    </xf>
    <xf numFmtId="0" fontId="63" fillId="38" borderId="59" applyAlignment="1" pivotButton="0" quotePrefix="0" xfId="0">
      <alignment horizontal="center" vertical="center" wrapText="1"/>
    </xf>
    <xf numFmtId="0" fontId="64" fillId="38" borderId="59" applyAlignment="1" pivotButton="0" quotePrefix="0" xfId="0">
      <alignment horizontal="center" vertical="center" wrapText="1"/>
    </xf>
    <xf numFmtId="0" fontId="65" fillId="39" borderId="0" applyAlignment="1" pivotButton="0" quotePrefix="0" xfId="0">
      <alignment horizontal="center" vertical="center"/>
    </xf>
    <xf numFmtId="0" fontId="0" fillId="39" borderId="0" pivotButton="0" quotePrefix="0" xfId="0"/>
    <xf numFmtId="0" fontId="66" fillId="38" borderId="57" applyAlignment="1" pivotButton="0" quotePrefix="0" xfId="0">
      <alignment horizontal="center" vertical="center"/>
    </xf>
    <xf numFmtId="0" fontId="0" fillId="38" borderId="57" pivotButton="0" quotePrefix="0" xfId="0"/>
    <xf numFmtId="0" fontId="67" fillId="38" borderId="57" applyAlignment="1" pivotButton="0" quotePrefix="0" xfId="0">
      <alignment horizontal="center" vertical="center"/>
    </xf>
    <xf numFmtId="0" fontId="68" fillId="36" borderId="57" applyAlignment="1" pivotButton="0" quotePrefix="0" xfId="0">
      <alignment horizontal="center" vertical="center"/>
    </xf>
    <xf numFmtId="0" fontId="0" fillId="36" borderId="57" pivotButton="0" quotePrefix="0" xfId="0"/>
    <xf numFmtId="0" fontId="69" fillId="36" borderId="57" applyAlignment="1" pivotButton="0" quotePrefix="0" xfId="0">
      <alignment horizontal="center" vertical="center"/>
    </xf>
    <xf numFmtId="0" fontId="70" fillId="37" borderId="57" applyAlignment="1" pivotButton="0" quotePrefix="0" xfId="0">
      <alignment horizontal="center" vertical="center"/>
    </xf>
    <xf numFmtId="0" fontId="0" fillId="37" borderId="57" pivotButton="0" quotePrefix="0" xfId="0"/>
    <xf numFmtId="0" fontId="71" fillId="37" borderId="57" applyAlignment="1" pivotButton="0" quotePrefix="0" xfId="0">
      <alignment horizontal="center" vertical="center"/>
    </xf>
    <xf numFmtId="0" fontId="72" fillId="0" borderId="0" applyAlignment="1" pivotButton="0" quotePrefix="0" xfId="0">
      <alignment horizontal="center" wrapText="1"/>
    </xf>
    <xf numFmtId="0" fontId="20" fillId="2" borderId="0" applyAlignment="1" pivotButton="0" quotePrefix="0" xfId="0">
      <alignment horizontal="center" vertical="center"/>
    </xf>
    <xf numFmtId="0" fontId="21" fillId="2" borderId="2" applyAlignment="1" pivotButton="0" quotePrefix="0" xfId="0">
      <alignment horizontal="center" vertical="center"/>
    </xf>
    <xf numFmtId="0" fontId="0" fillId="0" borderId="17" pivotButton="0" quotePrefix="0" xfId="0"/>
    <xf numFmtId="0" fontId="0" fillId="0" borderId="18" pivotButton="0" quotePrefix="0" xfId="0"/>
    <xf numFmtId="0" fontId="0" fillId="20" borderId="0" applyAlignment="1" pivotButton="0" quotePrefix="0" xfId="0">
      <alignment horizontal="general" vertical="bottom"/>
    </xf>
    <xf numFmtId="0" fontId="21" fillId="21" borderId="2" applyAlignment="1" pivotButton="0" quotePrefix="0" xfId="0">
      <alignment horizontal="center" vertical="center"/>
    </xf>
    <xf numFmtId="0" fontId="5" fillId="15" borderId="2" applyAlignment="1" pivotButton="0" quotePrefix="0" xfId="0">
      <alignment horizontal="center" vertical="center"/>
    </xf>
    <xf numFmtId="0" fontId="5" fillId="5" borderId="2" applyAlignment="1" pivotButton="0" quotePrefix="0" xfId="0">
      <alignment horizontal="center" vertical="center"/>
    </xf>
    <xf numFmtId="0" fontId="5" fillId="22" borderId="2" applyAlignment="1" pivotButton="0" quotePrefix="0" xfId="0">
      <alignment horizontal="center" vertical="center"/>
    </xf>
    <xf numFmtId="0" fontId="5" fillId="14" borderId="2" applyAlignment="1" pivotButton="0" quotePrefix="0" xfId="0">
      <alignment horizontal="center" vertical="center"/>
    </xf>
    <xf numFmtId="0" fontId="5" fillId="23" borderId="2" applyAlignment="1" pivotButton="0" quotePrefix="0" xfId="0">
      <alignment horizontal="center" vertical="center"/>
    </xf>
    <xf numFmtId="0" fontId="32" fillId="17" borderId="2" applyAlignment="1" pivotButton="0" quotePrefix="0" xfId="0">
      <alignment horizontal="center" vertical="center"/>
    </xf>
    <xf numFmtId="0" fontId="0" fillId="0" borderId="2" applyAlignment="1" pivotButton="0" quotePrefix="0" xfId="0">
      <alignment horizontal="general" vertical="bottom"/>
    </xf>
    <xf numFmtId="0" fontId="33" fillId="17" borderId="2" applyAlignment="1" pivotButton="0" quotePrefix="0" xfId="0">
      <alignment horizontal="center" vertical="center"/>
    </xf>
    <xf numFmtId="0" fontId="34" fillId="24" borderId="5" applyAlignment="1" pivotButton="0" quotePrefix="0" xfId="0">
      <alignment horizontal="center" vertical="center" wrapText="1"/>
    </xf>
    <xf numFmtId="0" fontId="0" fillId="0" borderId="19" pivotButton="0" quotePrefix="0" xfId="0"/>
    <xf numFmtId="0" fontId="0" fillId="0" borderId="21" pivotButton="0" quotePrefix="0" xfId="0"/>
    <xf numFmtId="0" fontId="35" fillId="25" borderId="6" applyAlignment="1" pivotButton="0" quotePrefix="0" xfId="0">
      <alignment horizontal="center" vertical="center" wrapText="1"/>
    </xf>
    <xf numFmtId="0" fontId="36" fillId="25" borderId="7" applyAlignment="1" pivotButton="0" quotePrefix="0" xfId="0">
      <alignment horizontal="center" vertical="center" wrapText="1"/>
    </xf>
    <xf numFmtId="0" fontId="37" fillId="26" borderId="8" applyAlignment="1" pivotButton="0" quotePrefix="0" xfId="0">
      <alignment horizontal="center" vertical="center" wrapText="1"/>
    </xf>
    <xf numFmtId="0" fontId="38" fillId="26" borderId="9" applyAlignment="1" pivotButton="0" quotePrefix="0" xfId="0">
      <alignment horizontal="center" vertical="center" wrapText="1"/>
    </xf>
    <xf numFmtId="0" fontId="39" fillId="27" borderId="10" applyAlignment="1" pivotButton="0" quotePrefix="0" xfId="0">
      <alignment horizontal="center" vertical="center" wrapText="1"/>
    </xf>
    <xf numFmtId="0" fontId="40" fillId="27" borderId="11" applyAlignment="1" pivotButton="0" quotePrefix="0" xfId="0">
      <alignment horizontal="center" vertical="center" wrapText="1"/>
    </xf>
    <xf numFmtId="0" fontId="41" fillId="28" borderId="12" applyAlignment="1" pivotButton="0" quotePrefix="0" xfId="0">
      <alignment horizontal="center" vertical="center" wrapText="1"/>
    </xf>
    <xf numFmtId="0" fontId="42" fillId="28" borderId="13" applyAlignment="1" pivotButton="0" quotePrefix="0" xfId="0">
      <alignment horizontal="center" vertical="center" wrapText="1"/>
    </xf>
    <xf numFmtId="0" fontId="0" fillId="0" borderId="23" pivotButton="0" quotePrefix="0" xfId="0"/>
    <xf numFmtId="0" fontId="0" fillId="0" borderId="24" pivotButton="0" quotePrefix="0" xfId="0"/>
    <xf numFmtId="0" fontId="0" fillId="0" borderId="25" pivotButton="0" quotePrefix="0" xfId="0"/>
    <xf numFmtId="0" fontId="0" fillId="0" borderId="27" pivotButton="0" quotePrefix="0" xfId="0"/>
    <xf numFmtId="0" fontId="0" fillId="0" borderId="30" pivotButton="0" quotePrefix="0" xfId="0"/>
    <xf numFmtId="0" fontId="0" fillId="0" borderId="33" pivotButton="0" quotePrefix="0" xfId="0"/>
    <xf numFmtId="0" fontId="0" fillId="0" borderId="36" pivotButton="0" quotePrefix="0" xfId="0"/>
    <xf numFmtId="0" fontId="0" fillId="0" borderId="39" pivotButton="0" quotePrefix="0" xfId="0"/>
    <xf numFmtId="0" fontId="0" fillId="0" borderId="42" pivotButton="0" quotePrefix="0" xfId="0"/>
    <xf numFmtId="0" fontId="0" fillId="0" borderId="45" pivotButton="0" quotePrefix="0" xfId="0"/>
    <xf numFmtId="0" fontId="0" fillId="0" borderId="48" pivotButton="0" quotePrefix="0" xfId="0"/>
    <xf numFmtId="0" fontId="0" fillId="0" borderId="28" pivotButton="0" quotePrefix="0" xfId="0"/>
    <xf numFmtId="0" fontId="0" fillId="0" borderId="31" pivotButton="0" quotePrefix="0" xfId="0"/>
    <xf numFmtId="0" fontId="0" fillId="0" borderId="34" pivotButton="0" quotePrefix="0" xfId="0"/>
    <xf numFmtId="0" fontId="0" fillId="0" borderId="37" pivotButton="0" quotePrefix="0" xfId="0"/>
    <xf numFmtId="0" fontId="0" fillId="0" borderId="40" pivotButton="0" quotePrefix="0" xfId="0"/>
    <xf numFmtId="0" fontId="0" fillId="0" borderId="43" pivotButton="0" quotePrefix="0" xfId="0"/>
    <xf numFmtId="0" fontId="0" fillId="0" borderId="46" pivotButton="0" quotePrefix="0" xfId="0"/>
    <xf numFmtId="0" fontId="0" fillId="0" borderId="49" pivotButton="0" quotePrefix="0" xfId="0"/>
    <xf numFmtId="0" fontId="43" fillId="29" borderId="14" applyAlignment="1" pivotButton="0" quotePrefix="0" xfId="0">
      <alignment horizontal="center" vertical="center" wrapText="1"/>
    </xf>
    <xf numFmtId="0" fontId="0" fillId="0" borderId="51" pivotButton="0" quotePrefix="0" xfId="0"/>
    <xf numFmtId="0" fontId="0" fillId="0" borderId="15" pivotButton="0" quotePrefix="0" xfId="0"/>
    <xf numFmtId="0" fontId="0" fillId="0" borderId="50" pivotButton="0" quotePrefix="0" xfId="0"/>
    <xf numFmtId="0" fontId="0" fillId="0" borderId="54" pivotButton="0" quotePrefix="0" xfId="0"/>
    <xf numFmtId="0" fontId="0" fillId="0" borderId="55" pivotButton="0" quotePrefix="0" xfId="0"/>
    <xf numFmtId="0" fontId="0" fillId="0" borderId="56" pivotButton="0" quotePrefix="0" xfId="0"/>
    <xf numFmtId="0" fontId="0" fillId="0" borderId="20" pivotButton="0" quotePrefix="0" xfId="0"/>
    <xf numFmtId="0" fontId="0" fillId="0" borderId="22" pivotButton="0" quotePrefix="0" xfId="0"/>
    <xf numFmtId="0" fontId="4" fillId="14" borderId="1" applyAlignment="1" pivotButton="0" quotePrefix="0" xfId="0">
      <alignment horizontal="center" vertical="center"/>
    </xf>
    <xf numFmtId="0" fontId="6" fillId="4" borderId="1" applyAlignment="1" pivotButton="0" quotePrefix="0" xfId="0">
      <alignment horizontal="general" vertical="center"/>
    </xf>
    <xf numFmtId="0" fontId="6" fillId="4" borderId="1" applyAlignment="1" pivotButton="0" quotePrefix="0" xfId="0">
      <alignment horizontal="general" vertical="center" wrapText="1"/>
    </xf>
    <xf numFmtId="0" fontId="6" fillId="0" borderId="1" applyAlignment="1" pivotButton="0" quotePrefix="0" xfId="0">
      <alignment horizontal="general" vertical="center"/>
    </xf>
    <xf numFmtId="0" fontId="6" fillId="0" borderId="1" applyAlignment="1" pivotButton="0" quotePrefix="0" xfId="0">
      <alignment horizontal="general" vertical="center" wrapText="1"/>
    </xf>
    <xf numFmtId="0" fontId="44" fillId="0" borderId="0" applyAlignment="1" pivotButton="0" quotePrefix="0" xfId="0">
      <alignment horizontal="general" vertical="center" wrapText="1"/>
    </xf>
    <xf numFmtId="0" fontId="6" fillId="0" borderId="0" applyAlignment="1" pivotButton="0" quotePrefix="0" xfId="0">
      <alignment horizontal="general" vertical="center" wrapText="1"/>
    </xf>
    <xf numFmtId="0" fontId="45" fillId="0" borderId="0" applyAlignment="1" pivotButton="0" quotePrefix="0" xfId="0">
      <alignment horizontal="general" vertical="center" wrapText="1"/>
    </xf>
    <xf numFmtId="0" fontId="46" fillId="0" borderId="0" applyAlignment="1" pivotButton="0" quotePrefix="0" xfId="0">
      <alignment horizontal="general" vertical="center" wrapText="1"/>
    </xf>
    <xf numFmtId="0" fontId="47" fillId="0" borderId="0" applyAlignment="1" pivotButton="0" quotePrefix="0" xfId="0">
      <alignment horizontal="general" vertical="center" wrapText="1"/>
    </xf>
    <xf numFmtId="0" fontId="48" fillId="0" borderId="0" applyAlignment="1" pivotButton="0" quotePrefix="0" xfId="0">
      <alignment horizontal="general" vertical="center" wrapText="1"/>
    </xf>
    <xf numFmtId="0" fontId="49" fillId="0" borderId="0" applyAlignment="1" pivotButton="0" quotePrefix="0" xfId="0">
      <alignment horizontal="general" vertical="center" wrapText="1"/>
    </xf>
    <xf numFmtId="0" fontId="50" fillId="0" borderId="0" applyAlignment="1" pivotButton="0" quotePrefix="0" xfId="0">
      <alignment horizontal="general" vertical="center" wrapText="1"/>
    </xf>
    <xf numFmtId="0" fontId="51" fillId="0" borderId="0" applyAlignment="1" pivotButton="0" quotePrefix="0" xfId="0">
      <alignment horizontal="general" vertical="center" wrapText="1"/>
    </xf>
    <xf numFmtId="0" fontId="52" fillId="0" borderId="0" applyAlignment="1" pivotButton="0" quotePrefix="0" xfId="0">
      <alignment horizontal="general" vertical="center" wrapText="1"/>
    </xf>
    <xf numFmtId="0" fontId="72" fillId="0" borderId="0" applyAlignment="1" pivotButton="0" quotePrefix="0" xfId="0">
      <alignment horizontal="center" vertical="center" wrapText="1"/>
    </xf>
    <xf numFmtId="0" fontId="0" fillId="34" borderId="0" pivotButton="0" quotePrefix="0" xfId="0"/>
    <xf numFmtId="0" fontId="55" fillId="31" borderId="57" applyAlignment="1" pivotButton="0" quotePrefix="0" xfId="0">
      <alignment horizontal="center" vertical="center"/>
    </xf>
    <xf numFmtId="0" fontId="75" fillId="31" borderId="57" applyAlignment="1" pivotButton="0" quotePrefix="0" xfId="0">
      <alignment horizontal="center" vertical="center"/>
    </xf>
    <xf numFmtId="0" fontId="58" fillId="35" borderId="57" applyAlignment="1" pivotButton="0" quotePrefix="0" xfId="0">
      <alignment vertical="center"/>
    </xf>
    <xf numFmtId="0" fontId="76" fillId="35" borderId="57" applyAlignment="1" pivotButton="0" quotePrefix="0" xfId="0">
      <alignment horizontal="center" vertical="center"/>
    </xf>
    <xf numFmtId="0" fontId="77" fillId="35" borderId="57" applyAlignment="1" pivotButton="0" quotePrefix="0" xfId="0">
      <alignment horizontal="center" vertical="center"/>
    </xf>
    <xf numFmtId="0" fontId="60" fillId="36" borderId="57" applyAlignment="1" pivotButton="0" quotePrefix="0" xfId="0">
      <alignment horizontal="center" vertical="center"/>
    </xf>
    <xf numFmtId="0" fontId="0" fillId="0" borderId="61" pivotButton="0" quotePrefix="0" xfId="0"/>
    <xf numFmtId="0" fontId="77" fillId="34" borderId="57" applyAlignment="1" pivotButton="0" quotePrefix="0" xfId="0">
      <alignment horizontal="center" vertical="center"/>
    </xf>
    <xf numFmtId="0" fontId="77" fillId="0" borderId="57" applyAlignment="1" pivotButton="0" quotePrefix="0" xfId="0">
      <alignment horizontal="center" vertical="center"/>
    </xf>
    <xf numFmtId="0" fontId="0" fillId="0" borderId="62" pivotButton="0" quotePrefix="0" xfId="0"/>
    <xf numFmtId="0" fontId="61" fillId="37" borderId="57" applyAlignment="1" pivotButton="0" quotePrefix="0" xfId="0">
      <alignment horizontal="center" vertical="center"/>
    </xf>
    <xf numFmtId="0" fontId="78" fillId="39" borderId="0" applyAlignment="1" pivotButton="0" quotePrefix="0" xfId="0">
      <alignment horizontal="center" vertical="center"/>
    </xf>
    <xf numFmtId="0" fontId="73" fillId="32" borderId="57" applyAlignment="1" pivotButton="0" quotePrefix="0" xfId="0">
      <alignment horizontal="center" vertical="center" wrapText="1"/>
    </xf>
    <xf numFmtId="0" fontId="73" fillId="33" borderId="57" applyAlignment="1" pivotButton="0" quotePrefix="0" xfId="0">
      <alignment horizontal="center" vertical="center" wrapText="1"/>
    </xf>
    <xf numFmtId="0" fontId="79" fillId="0" borderId="58" applyAlignment="1" pivotButton="0" quotePrefix="0" xfId="0">
      <alignment horizontal="center" vertical="center" wrapText="1"/>
    </xf>
    <xf numFmtId="0" fontId="79" fillId="0" borderId="59" applyAlignment="1" pivotButton="0" quotePrefix="0" xfId="0">
      <alignment horizontal="center" vertical="center"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29">
    <dxf>
      <fill>
        <patternFill patternType="solid">
          <fgColor rgb="FF1B3A5F"/>
          <bgColor rgb="FF000000"/>
        </patternFill>
      </fill>
    </dxf>
    <dxf>
      <fill>
        <patternFill patternType="solid">
          <fgColor rgb="FFF2F4F7"/>
          <bgColor rgb="FF000000"/>
        </patternFill>
      </fill>
    </dxf>
    <dxf>
      <fill>
        <patternFill patternType="solid">
          <bgColor rgb="FF000000"/>
        </patternFill>
      </fill>
    </dxf>
    <dxf>
      <fill>
        <patternFill patternType="solid">
          <fgColor rgb="FF1E293B"/>
          <bgColor rgb="FF000000"/>
        </patternFill>
      </fill>
    </dxf>
    <dxf>
      <fill>
        <patternFill patternType="solid">
          <fgColor rgb="FFFFFFFF"/>
          <bgColor rgb="FF000000"/>
        </patternFill>
      </fill>
    </dxf>
    <dxf>
      <fill>
        <patternFill patternType="solid">
          <fgColor rgb="FFFEE2E2"/>
          <bgColor rgb="FF000000"/>
        </patternFill>
      </fill>
    </dxf>
    <dxf>
      <fill>
        <patternFill patternType="solid">
          <fgColor rgb="FF991B1B"/>
          <bgColor rgb="FF000000"/>
        </patternFill>
      </fill>
    </dxf>
    <dxf>
      <fill>
        <patternFill patternType="solid">
          <fgColor rgb="FF0000FF"/>
          <bgColor rgb="FF000000"/>
        </patternFill>
      </fill>
    </dxf>
    <dxf>
      <font>
        <b val="1"/>
        <color rgb="FF991B1B"/>
      </font>
      <fill>
        <patternFill>
          <bgColor rgb="FFFEE2E2"/>
        </patternFill>
      </fill>
    </dxf>
    <dxf>
      <font>
        <b val="1"/>
        <color rgb="FF166534"/>
      </font>
      <fill>
        <patternFill>
          <bgColor rgb="FFDCFCE7"/>
        </patternFill>
      </fill>
    </dxf>
    <dxf>
      <fill>
        <patternFill patternType="solid">
          <fgColor rgb="FF2563EB"/>
          <bgColor rgb="FF000000"/>
        </patternFill>
      </fill>
    </dxf>
    <dxf>
      <fill>
        <patternFill patternType="solid">
          <fgColor rgb="FFCCFBF1"/>
          <bgColor rgb="FF000000"/>
        </patternFill>
      </fill>
    </dxf>
    <dxf>
      <fill>
        <patternFill patternType="solid">
          <fgColor rgb="FFDBEAFE"/>
          <bgColor rgb="FF000000"/>
        </patternFill>
      </fill>
    </dxf>
    <dxf>
      <fill>
        <patternFill patternType="solid">
          <fgColor rgb="FFEDE9FE"/>
          <bgColor rgb="FF000000"/>
        </patternFill>
      </fill>
    </dxf>
    <dxf>
      <fill>
        <patternFill patternType="solid">
          <fgColor rgb="FF065F46"/>
          <bgColor rgb="FF000000"/>
        </patternFill>
      </fill>
    </dxf>
    <dxf>
      <fill>
        <patternFill patternType="solid">
          <fgColor rgb="FF1E40AF"/>
          <bgColor rgb="FF000000"/>
        </patternFill>
      </fill>
    </dxf>
    <dxf>
      <fill>
        <patternFill patternType="solid">
          <fgColor rgb="FF5B21B6"/>
          <bgColor rgb="FF000000"/>
        </patternFill>
      </fill>
    </dxf>
    <dxf>
      <fill>
        <patternFill patternType="solid">
          <fgColor rgb="FFDCFCE7"/>
          <bgColor rgb="FF000000"/>
        </patternFill>
      </fill>
    </dxf>
    <dxf>
      <fill>
        <patternFill patternType="solid">
          <fgColor rgb="FFFFEDD5"/>
          <bgColor rgb="FF000000"/>
        </patternFill>
      </fill>
    </dxf>
    <dxf>
      <fill>
        <patternFill patternType="solid">
          <fgColor rgb="FF166534"/>
          <bgColor rgb="FF000000"/>
        </patternFill>
      </fill>
    </dxf>
    <dxf>
      <fill>
        <patternFill patternType="solid">
          <fgColor rgb="FF9A3412"/>
          <bgColor rgb="FF000000"/>
        </patternFill>
      </fill>
    </dxf>
    <dxf>
      <font>
        <b val="1"/>
        <color rgb="FF166534"/>
      </font>
      <fill>
        <patternFill>
          <bgColor rgb="FFDCFCE7"/>
        </patternFill>
      </fill>
    </dxf>
    <dxf>
      <font>
        <b val="1"/>
        <color rgb="FF991B1B"/>
      </font>
      <fill>
        <patternFill>
          <bgColor rgb="FFFEE2E2"/>
        </patternFill>
      </fill>
    </dxf>
    <dxf>
      <font>
        <b val="1"/>
        <color rgb="FF9A3412"/>
      </font>
      <fill>
        <patternFill>
          <bgColor rgb="FFFFEDD5"/>
        </patternFill>
      </fill>
    </dxf>
    <dxf>
      <font>
        <b val="1"/>
        <color rgb="FF166534"/>
        <sz val="8"/>
      </font>
      <fill>
        <patternFill>
          <bgColor rgb="FFDCFCE7"/>
        </patternFill>
      </fill>
    </dxf>
    <dxf>
      <fill>
        <patternFill patternType="solid">
          <fgColor rgb="FF0D9488"/>
          <bgColor rgb="FF000000"/>
        </patternFill>
      </fill>
    </dxf>
    <dxf>
      <font>
        <b val="1"/>
        <color rgb="00991B1B"/>
      </font>
      <fill>
        <patternFill patternType="solid">
          <fgColor rgb="00FEE2E2"/>
        </patternFill>
      </fill>
    </dxf>
    <dxf>
      <font>
        <b val="1"/>
        <color rgb="00166534"/>
      </font>
      <fill>
        <patternFill patternType="solid">
          <fgColor rgb="00DCFCE7"/>
        </patternFill>
      </fill>
    </dxf>
    <dxf>
      <font>
        <b val="1"/>
        <color rgb="00166534"/>
        <sz val="8"/>
      </font>
      <fill>
        <patternFill patternType="solid">
          <fgColor rgb="00DCFCE7"/>
        </patternFill>
      </fill>
    </dxf>
  </dxfs>
  <colors>
    <indexedColors>
      <rgbColor rgb="FF000000"/>
      <rgbColor rgb="FFFFFFFF"/>
      <rgbColor rgb="FFDC2626"/>
      <rgbColor rgb="FF00FF00"/>
      <rgbColor rgb="FF0000FF"/>
      <rgbColor rgb="FFFFEDD5"/>
      <rgbColor rgb="FFFF00FF"/>
      <rgbColor rgb="FF00FFFF"/>
      <rgbColor rgb="FF7F1D1D"/>
      <rgbColor rgb="FF166534"/>
      <rgbColor rgb="FF2E4057"/>
      <rgbColor rgb="FF808000"/>
      <rgbColor rgb="FF5B21B6"/>
      <rgbColor rgb="FF0D9488"/>
      <rgbColor rgb="FFCFD8DC"/>
      <rgbColor rgb="FF546E7A"/>
      <rgbColor rgb="FFDBEAFE"/>
      <rgbColor rgb="FFBE123C"/>
      <rgbColor rgb="FFFFF8E1"/>
      <rgbColor rgb="FFCCFBF1"/>
      <rgbColor rgb="FF4A1D96"/>
      <rgbColor rgb="FFEDE9FE"/>
      <rgbColor rgb="FF475569"/>
      <rgbColor rgb="FFD0D5DD"/>
      <rgbColor rgb="FF000080"/>
      <rgbColor rgb="FFFF00FF"/>
      <rgbColor rgb="FFECEFF1"/>
      <rgbColor rgb="FF00FFFF"/>
      <rgbColor rgb="FF6D28D9"/>
      <rgbColor rgb="FF991B1B"/>
      <rgbColor rgb="FF065F46"/>
      <rgbColor rgb="FF7C3AED"/>
      <rgbColor rgb="FF00CCFF"/>
      <rgbColor rgb="FFDCFCE7"/>
      <rgbColor rgb="FFD1FAE5"/>
      <rgbColor rgb="FFFEF3C7"/>
      <rgbColor rgb="FFD6E4F0"/>
      <rgbColor rgb="FFFCE4EC"/>
      <rgbColor rgb="FFE8E0F0"/>
      <rgbColor rgb="FFFEE2E2"/>
      <rgbColor rgb="FF2563EB"/>
      <rgbColor rgb="FF33CCCC"/>
      <rgbColor rgb="FFF0F1F3"/>
      <rgbColor rgb="FFE2E8F0"/>
      <rgbColor rgb="FFF2F4F7"/>
      <rgbColor rgb="FFD97706"/>
      <rgbColor rgb="FF64748B"/>
      <rgbColor rgb="FF90A4AE"/>
      <rgbColor rgb="FF1B3A5F"/>
      <rgbColor rgb="FF339966"/>
      <rgbColor rgb="FF1E3A5F"/>
      <rgbColor rgb="FF1E293B"/>
      <rgbColor rgb="FF9A3412"/>
      <rgbColor rgb="FF5D4037"/>
      <rgbColor rgb="FF1E40AF"/>
      <rgbColor rgb="FF2D3748"/>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tabColor rgb="FF1B3A5F"/>
    <outlinePr summaryBelow="1" summaryRight="1"/>
    <pageSetUpPr fitToPage="0"/>
  </sheetPr>
  <dimension ref="A1:S500"/>
  <sheetViews>
    <sheetView showFormulas="0" showGridLines="1" showRowColHeaders="1" showZeros="1" rightToLeft="0" tabSelected="1" showOutlineSymbols="1" defaultGridColor="1" view="normal" topLeftCell="A1" colorId="64" zoomScale="100" zoomScaleNormal="100" zoomScalePageLayoutView="100" workbookViewId="0">
      <pane xSplit="4" ySplit="1" topLeftCell="E2" activePane="bottomRight" state="frozen"/>
      <selection pane="topLeft" activeCell="A1" activeCellId="0" sqref="A1"/>
      <selection pane="topRight" activeCell="E1" activeCellId="0" sqref="E1"/>
      <selection pane="bottomLeft" activeCell="A2" activeCellId="0" sqref="A2"/>
      <selection pane="bottomRight" activeCell="A1" activeCellId="0" sqref="A1"/>
    </sheetView>
  </sheetViews>
  <sheetFormatPr baseColWidth="8" defaultColWidth="8.6796875" defaultRowHeight="15" zeroHeight="0" outlineLevelRow="0"/>
  <cols>
    <col width="5" customWidth="1" style="106" min="1" max="1"/>
    <col width="6" customWidth="1" style="106" min="2" max="2"/>
    <col width="8" customWidth="1" style="106" min="3" max="4"/>
    <col width="32" customWidth="1" style="106" min="5" max="5"/>
    <col width="20" customWidth="1" style="106" min="6" max="6"/>
    <col width="14" customWidth="1" style="106" min="7" max="7"/>
    <col width="15" customWidth="1" style="106" min="8" max="9"/>
    <col width="12" customWidth="1" style="106" min="10" max="11"/>
    <col width="11" customWidth="1" style="106" min="12" max="12"/>
    <col width="9" customWidth="1" style="106" min="13" max="13"/>
    <col width="12" customWidth="1" style="106" min="14" max="14"/>
    <col width="15" customWidth="1" style="106" min="15" max="15"/>
    <col hidden="1" width="13" customWidth="1" style="106" min="18" max="18"/>
    <col width="10" customWidth="1" style="106" min="19" max="19"/>
  </cols>
  <sheetData>
    <row r="1" ht="30" customHeight="1" s="107">
      <c r="A1" s="108" t="inlineStr">
        <is>
          <t>ID</t>
        </is>
      </c>
      <c r="B1" s="108" t="inlineStr">
        <is>
          <t>Day</t>
        </is>
      </c>
      <c r="C1" s="108" t="inlineStr">
        <is>
          <t>Start</t>
        </is>
      </c>
      <c r="D1" s="108" t="inlineStr">
        <is>
          <t>End</t>
        </is>
      </c>
      <c r="E1" s="108" t="inlineStr">
        <is>
          <t>Title</t>
        </is>
      </c>
      <c r="F1" s="108" t="inlineStr">
        <is>
          <t>Lead</t>
        </is>
      </c>
      <c r="G1" s="108" t="inlineStr">
        <is>
          <t>Room</t>
        </is>
      </c>
      <c r="H1" s="108" t="inlineStr">
        <is>
          <t>Type</t>
        </is>
      </c>
      <c r="I1" s="108" t="inlineStr">
        <is>
          <t>Track</t>
        </is>
      </c>
      <c r="J1" s="108" t="inlineStr">
        <is>
          <t>Capacity</t>
        </is>
      </c>
      <c r="K1" s="108" t="inlineStr">
        <is>
          <t>Expected
Participants</t>
        </is>
      </c>
      <c r="R1" s="106" t="inlineStr">
        <is>
          <t>Tracks (auto)</t>
        </is>
      </c>
      <c r="S1" s="109" t="inlineStr">
        <is>
          <t>Room
Check</t>
        </is>
      </c>
    </row>
    <row r="2" ht="15" customHeight="1" s="107">
      <c r="A2" s="110" t="n">
        <v>1</v>
      </c>
      <c r="B2" s="110" t="n">
        <v>1</v>
      </c>
      <c r="C2" s="111" t="inlineStr">
        <is>
          <t>09:00</t>
        </is>
      </c>
      <c r="D2" s="111" t="inlineStr">
        <is>
          <t>10:00</t>
        </is>
      </c>
      <c r="E2" s="112" t="inlineStr">
        <is>
          <t>Opening Keynote</t>
        </is>
      </c>
      <c r="F2" s="113" t="inlineStr">
        <is>
          <t>Dr. Sarah Chen</t>
        </is>
      </c>
      <c r="G2" s="113" t="inlineStr">
        <is>
          <t>Main Hall</t>
        </is>
      </c>
      <c r="H2" s="113" t="inlineStr">
        <is>
          <t>Keynote</t>
        </is>
      </c>
      <c r="I2" s="113" t="inlineStr">
        <is>
          <t>all</t>
        </is>
      </c>
      <c r="J2" s="114" t="n">
        <v>200</v>
      </c>
      <c r="K2" s="114" t="n">
        <v>140</v>
      </c>
      <c r="R2" s="106">
        <f>sort(unique(filter(I2:I200,LOWER(I2:I200)&lt;&gt;"all")))</f>
        <v/>
      </c>
      <c r="S2" s="115">
        <f>IF(OR(G2="",B2="",C2=""),"",IF(SUMPRODUCT(('Room Management'!$A$4:$A$103="D"&amp;B2)*('Room Management'!$B$4:$B$103=C2)*(INDEX('Room Management'!$C$4:$M$103,0,MATCH(G2,'Room Management'!$C$2:$M$2,0))&lt;&gt;""))&gt;0,"OK","CONFLICT"))</f>
        <v/>
      </c>
    </row>
    <row r="3" ht="15" customHeight="1" s="107">
      <c r="A3" s="116" t="n">
        <v>2</v>
      </c>
      <c r="B3" s="116" t="n">
        <v>1</v>
      </c>
      <c r="C3" s="117" t="inlineStr">
        <is>
          <t>10:30</t>
        </is>
      </c>
      <c r="D3" s="117" t="inlineStr">
        <is>
          <t>12:00</t>
        </is>
      </c>
      <c r="E3" s="118" t="inlineStr">
        <is>
          <t>Leading Through Change</t>
        </is>
      </c>
      <c r="F3" s="119" t="inlineStr">
        <is>
          <t>Mark Torres</t>
        </is>
      </c>
      <c r="G3" s="119" t="inlineStr">
        <is>
          <t>Room A1</t>
        </is>
      </c>
      <c r="H3" s="119" t="inlineStr">
        <is>
          <t>Leadership</t>
        </is>
      </c>
      <c r="I3" s="119" t="inlineStr">
        <is>
          <t>Leadership</t>
        </is>
      </c>
      <c r="J3" s="114" t="n">
        <v>40</v>
      </c>
      <c r="K3" s="114" t="n">
        <v>28</v>
      </c>
      <c r="S3" s="115">
        <f>IF(OR(G3="",B3="",C3=""),"",IF(SUMPRODUCT(('Room Management'!$A$4:$A$103="D"&amp;B3)*('Room Management'!$B$4:$B$103=C3)*(INDEX('Room Management'!$C$4:$M$103,0,MATCH(G3,'Room Management'!$C$2:$M$2,0))&lt;&gt;""))&gt;0,"OK","CONFLICT"))</f>
        <v/>
      </c>
    </row>
    <row r="4" ht="15" customHeight="1" s="107">
      <c r="A4" s="110" t="n">
        <v>3</v>
      </c>
      <c r="B4" s="110" t="n">
        <v>1</v>
      </c>
      <c r="C4" s="111" t="inlineStr">
        <is>
          <t>10:30</t>
        </is>
      </c>
      <c r="D4" s="111" t="inlineStr">
        <is>
          <t>12:00</t>
        </is>
      </c>
      <c r="E4" s="112" t="inlineStr">
        <is>
          <t>API Design Patterns</t>
        </is>
      </c>
      <c r="F4" s="113" t="inlineStr">
        <is>
          <t>Priya Sharma</t>
        </is>
      </c>
      <c r="G4" s="113" t="inlineStr">
        <is>
          <t>Room B1</t>
        </is>
      </c>
      <c r="H4" s="113" t="inlineStr">
        <is>
          <t>Technical</t>
        </is>
      </c>
      <c r="I4" s="113" t="inlineStr">
        <is>
          <t>Technical</t>
        </is>
      </c>
      <c r="J4" s="114" t="n">
        <v>45</v>
      </c>
      <c r="K4" s="114" t="n">
        <v>31</v>
      </c>
      <c r="S4" s="115">
        <f>IF(OR(G4="",B4="",C4=""),"",IF(SUMPRODUCT(('Room Management'!$A$4:$A$103="D"&amp;B4)*('Room Management'!$B$4:$B$103=C4)*(INDEX('Room Management'!$C$4:$M$103,0,MATCH(G4,'Room Management'!$C$2:$M$2,0))&lt;&gt;""))&gt;0,"OK","CONFLICT"))</f>
        <v/>
      </c>
    </row>
    <row r="5" ht="15" customHeight="1" s="107">
      <c r="A5" s="116" t="n">
        <v>4</v>
      </c>
      <c r="B5" s="116" t="n">
        <v>1</v>
      </c>
      <c r="C5" s="117" t="inlineStr">
        <is>
          <t>10:30</t>
        </is>
      </c>
      <c r="D5" s="117" t="inlineStr">
        <is>
          <t>12:00</t>
        </is>
      </c>
      <c r="E5" s="118" t="inlineStr">
        <is>
          <t>Empathy Mapping 101</t>
        </is>
      </c>
      <c r="F5" s="119" t="inlineStr">
        <is>
          <t>Lena Müller</t>
        </is>
      </c>
      <c r="G5" s="119" t="inlineStr">
        <is>
          <t>Room C1</t>
        </is>
      </c>
      <c r="H5" s="119" t="inlineStr">
        <is>
          <t>Design Thinking</t>
        </is>
      </c>
      <c r="I5" s="119" t="inlineStr">
        <is>
          <t>Design Thinking</t>
        </is>
      </c>
      <c r="J5" s="114" t="n">
        <v>35</v>
      </c>
      <c r="K5" s="114" t="n">
        <v>24</v>
      </c>
      <c r="S5" s="115">
        <f>IF(OR(G5="",B5="",C5=""),"",IF(SUMPRODUCT(('Room Management'!$A$4:$A$103="D"&amp;B5)*('Room Management'!$B$4:$B$103=C5)*(INDEX('Room Management'!$C$4:$M$103,0,MATCH(G5,'Room Management'!$C$2:$M$2,0))&lt;&gt;""))&gt;0,"OK","CONFLICT"))</f>
        <v/>
      </c>
    </row>
    <row r="6" ht="15" customHeight="1" s="107">
      <c r="A6" s="110" t="n">
        <v>5</v>
      </c>
      <c r="B6" s="110" t="n">
        <v>1</v>
      </c>
      <c r="C6" s="111" t="inlineStr">
        <is>
          <t>10:30</t>
        </is>
      </c>
      <c r="D6" s="111" t="inlineStr">
        <is>
          <t>12:00</t>
        </is>
      </c>
      <c r="E6" s="112" t="inlineStr">
        <is>
          <t>Lean Process Improvement</t>
        </is>
      </c>
      <c r="F6" s="113" t="inlineStr">
        <is>
          <t>James Wright</t>
        </is>
      </c>
      <c r="G6" s="113" t="inlineStr">
        <is>
          <t>Room D1</t>
        </is>
      </c>
      <c r="H6" s="113" t="inlineStr">
        <is>
          <t>Operations</t>
        </is>
      </c>
      <c r="I6" s="113" t="inlineStr">
        <is>
          <t>Operations</t>
        </is>
      </c>
      <c r="J6" s="114" t="n">
        <v>30</v>
      </c>
      <c r="K6" s="114" t="n">
        <v>21</v>
      </c>
      <c r="S6" s="115">
        <f>IF(OR(G6="",B6="",C6=""),"",IF(SUMPRODUCT(('Room Management'!$A$4:$A$103="D"&amp;B6)*('Room Management'!$B$4:$B$103=C6)*(INDEX('Room Management'!$C$4:$M$103,0,MATCH(G6,'Room Management'!$C$2:$M$2,0))&lt;&gt;""))&gt;0,"OK","CONFLICT"))</f>
        <v/>
      </c>
    </row>
    <row r="7" ht="15" customHeight="1" s="107">
      <c r="A7" s="116" t="n">
        <v>6</v>
      </c>
      <c r="B7" s="116" t="n">
        <v>1</v>
      </c>
      <c r="C7" s="117" t="inlineStr">
        <is>
          <t>12:00</t>
        </is>
      </c>
      <c r="D7" s="117" t="inlineStr">
        <is>
          <t>13:00</t>
        </is>
      </c>
      <c r="E7" s="118" t="inlineStr">
        <is>
          <t>Lunch &amp; Networking</t>
        </is>
      </c>
      <c r="F7" s="119" t="n"/>
      <c r="G7" s="119" t="inlineStr">
        <is>
          <t>Atrium</t>
        </is>
      </c>
      <c r="H7" s="119" t="inlineStr">
        <is>
          <t>Break</t>
        </is>
      </c>
      <c r="I7" s="119" t="inlineStr">
        <is>
          <t>all</t>
        </is>
      </c>
      <c r="J7" s="114" t="n">
        <v>200</v>
      </c>
      <c r="K7" s="114" t="n">
        <v>200</v>
      </c>
      <c r="S7" s="115">
        <f>IF(OR(G7="",B7="",C7=""),"",IF(SUMPRODUCT(('Room Management'!$A$4:$A$103="D"&amp;B7)*('Room Management'!$B$4:$B$103=C7)*(INDEX('Room Management'!$C$4:$M$103,0,MATCH(G7,'Room Management'!$C$2:$M$2,0))&lt;&gt;""))&gt;0,"OK","CONFLICT"))</f>
        <v/>
      </c>
    </row>
    <row r="8" ht="15" customHeight="1" s="107">
      <c r="A8" s="110" t="n">
        <v>7</v>
      </c>
      <c r="B8" s="110" t="n">
        <v>1</v>
      </c>
      <c r="C8" s="111" t="inlineStr">
        <is>
          <t>13:00</t>
        </is>
      </c>
      <c r="D8" s="111" t="inlineStr">
        <is>
          <t>14:30</t>
        </is>
      </c>
      <c r="E8" s="112" t="inlineStr">
        <is>
          <t>Stakeholder Alignment</t>
        </is>
      </c>
      <c r="F8" s="113" t="inlineStr">
        <is>
          <t>Aisha Johnson</t>
        </is>
      </c>
      <c r="G8" s="113" t="inlineStr">
        <is>
          <t>Room A1</t>
        </is>
      </c>
      <c r="H8" s="113" t="inlineStr">
        <is>
          <t>Leadership</t>
        </is>
      </c>
      <c r="I8" s="113" t="inlineStr">
        <is>
          <t>Leadership</t>
        </is>
      </c>
      <c r="J8" s="114" t="n">
        <v>40</v>
      </c>
      <c r="K8" s="114" t="n">
        <v>28</v>
      </c>
      <c r="S8" s="115">
        <f>IF(OR(G8="",B8="",C8=""),"",IF(SUMPRODUCT(('Room Management'!$A$4:$A$103="D"&amp;B8)*('Room Management'!$B$4:$B$103=C8)*(INDEX('Room Management'!$C$4:$M$103,0,MATCH(G8,'Room Management'!$C$2:$M$2,0))&lt;&gt;""))&gt;0,"OK","CONFLICT"))</f>
        <v/>
      </c>
    </row>
    <row r="9" ht="15" customHeight="1" s="107">
      <c r="A9" s="116" t="n">
        <v>8</v>
      </c>
      <c r="B9" s="116" t="n">
        <v>1</v>
      </c>
      <c r="C9" s="117" t="inlineStr">
        <is>
          <t>13:00</t>
        </is>
      </c>
      <c r="D9" s="117" t="inlineStr">
        <is>
          <t>14:30</t>
        </is>
      </c>
      <c r="E9" s="118" t="inlineStr">
        <is>
          <t>Cloud Infrastructure</t>
        </is>
      </c>
      <c r="F9" s="119" t="inlineStr">
        <is>
          <t>David Kim</t>
        </is>
      </c>
      <c r="G9" s="119" t="inlineStr">
        <is>
          <t>Room B1</t>
        </is>
      </c>
      <c r="H9" s="119" t="inlineStr">
        <is>
          <t>Technical</t>
        </is>
      </c>
      <c r="I9" s="119" t="inlineStr">
        <is>
          <t>Technical</t>
        </is>
      </c>
      <c r="J9" s="114" t="n">
        <v>50</v>
      </c>
      <c r="K9" s="114" t="n">
        <v>35</v>
      </c>
      <c r="S9" s="115">
        <f>IF(OR(G9="",B9="",C9=""),"",IF(SUMPRODUCT(('Room Management'!$A$4:$A$103="D"&amp;B9)*('Room Management'!$B$4:$B$103=C9)*(INDEX('Room Management'!$C$4:$M$103,0,MATCH(G9,'Room Management'!$C$2:$M$2,0))&lt;&gt;""))&gt;0,"OK","CONFLICT"))</f>
        <v/>
      </c>
    </row>
    <row r="10" ht="15" customHeight="1" s="107">
      <c r="A10" s="110" t="n">
        <v>9</v>
      </c>
      <c r="B10" s="110" t="n">
        <v>1</v>
      </c>
      <c r="C10" s="111" t="inlineStr">
        <is>
          <t>13:00</t>
        </is>
      </c>
      <c r="D10" s="111" t="inlineStr">
        <is>
          <t>14:30</t>
        </is>
      </c>
      <c r="E10" s="112" t="inlineStr">
        <is>
          <t>Prototyping Sprint</t>
        </is>
      </c>
      <c r="F10" s="113" t="inlineStr">
        <is>
          <t>Carlos Ruiz</t>
        </is>
      </c>
      <c r="G10" s="113" t="inlineStr">
        <is>
          <t>Room C1</t>
        </is>
      </c>
      <c r="H10" s="113" t="inlineStr">
        <is>
          <t>Design Thinking</t>
        </is>
      </c>
      <c r="I10" s="113" t="inlineStr">
        <is>
          <t>Design Thinking</t>
        </is>
      </c>
      <c r="J10" s="114" t="n">
        <v>35</v>
      </c>
      <c r="K10" s="114" t="n">
        <v>24</v>
      </c>
      <c r="S10" s="115">
        <f>IF(OR(G10="",B10="",C10=""),"",IF(SUMPRODUCT(('Room Management'!$A$4:$A$103="D"&amp;B10)*('Room Management'!$B$4:$B$103=C10)*(INDEX('Room Management'!$C$4:$M$103,0,MATCH(G10,'Room Management'!$C$2:$M$2,0))&lt;&gt;""))&gt;0,"OK","CONFLICT"))</f>
        <v/>
      </c>
    </row>
    <row r="11" ht="15" customHeight="1" s="107">
      <c r="A11" s="116" t="n">
        <v>10</v>
      </c>
      <c r="B11" s="116" t="n">
        <v>1</v>
      </c>
      <c r="C11" s="117" t="inlineStr">
        <is>
          <t>13:00</t>
        </is>
      </c>
      <c r="D11" s="117" t="inlineStr">
        <is>
          <t>14:30</t>
        </is>
      </c>
      <c r="E11" s="118" t="inlineStr">
        <is>
          <t>Risk Assessment</t>
        </is>
      </c>
      <c r="F11" s="119" t="inlineStr">
        <is>
          <t>Nina Petrov</t>
        </is>
      </c>
      <c r="G11" s="119" t="inlineStr">
        <is>
          <t>Room D1</t>
        </is>
      </c>
      <c r="H11" s="119" t="inlineStr">
        <is>
          <t>Operations</t>
        </is>
      </c>
      <c r="I11" s="119" t="inlineStr">
        <is>
          <t>Operations</t>
        </is>
      </c>
      <c r="J11" s="114" t="n">
        <v>30</v>
      </c>
      <c r="K11" s="114" t="n">
        <v>21</v>
      </c>
      <c r="S11" s="115">
        <f>IF(OR(G11="",B11="",C11=""),"",IF(SUMPRODUCT(('Room Management'!$A$4:$A$103="D"&amp;B11)*('Room Management'!$B$4:$B$103=C11)*(INDEX('Room Management'!$C$4:$M$103,0,MATCH(G11,'Room Management'!$C$2:$M$2,0))&lt;&gt;""))&gt;0,"OK","CONFLICT"))</f>
        <v/>
      </c>
    </row>
    <row r="12" ht="15" customHeight="1" s="107">
      <c r="A12" s="110" t="n">
        <v>11</v>
      </c>
      <c r="B12" s="110" t="n">
        <v>1</v>
      </c>
      <c r="C12" s="111" t="inlineStr">
        <is>
          <t>14:30</t>
        </is>
      </c>
      <c r="D12" s="111" t="inlineStr">
        <is>
          <t>15:00</t>
        </is>
      </c>
      <c r="E12" s="112" t="inlineStr">
        <is>
          <t>Afternoon Break</t>
        </is>
      </c>
      <c r="F12" s="113" t="n"/>
      <c r="G12" s="113" t="inlineStr">
        <is>
          <t>Atrium</t>
        </is>
      </c>
      <c r="H12" s="113" t="inlineStr">
        <is>
          <t>Break</t>
        </is>
      </c>
      <c r="I12" s="113" t="inlineStr">
        <is>
          <t>all</t>
        </is>
      </c>
      <c r="J12" s="114" t="n">
        <v>200</v>
      </c>
      <c r="K12" s="114" t="n">
        <v>200</v>
      </c>
      <c r="S12" s="115">
        <f>IF(OR(G12="",B12="",C12=""),"",IF(SUMPRODUCT(('Room Management'!$A$4:$A$103="D"&amp;B12)*('Room Management'!$B$4:$B$103=C12)*(INDEX('Room Management'!$C$4:$M$103,0,MATCH(G12,'Room Management'!$C$2:$M$2,0))&lt;&gt;""))&gt;0,"OK","CONFLICT"))</f>
        <v/>
      </c>
    </row>
    <row r="13" ht="15" customHeight="1" s="107">
      <c r="A13" s="116" t="n">
        <v>12</v>
      </c>
      <c r="B13" s="116" t="n">
        <v>1</v>
      </c>
      <c r="C13" s="117" t="inlineStr">
        <is>
          <t>15:00</t>
        </is>
      </c>
      <c r="D13" s="117" t="inlineStr">
        <is>
          <t>16:30</t>
        </is>
      </c>
      <c r="E13" s="118" t="inlineStr">
        <is>
          <t>Feedback Culture</t>
        </is>
      </c>
      <c r="F13" s="119" t="inlineStr">
        <is>
          <t>Tom Bradley</t>
        </is>
      </c>
      <c r="G13" s="119" t="inlineStr">
        <is>
          <t>Room A1</t>
        </is>
      </c>
      <c r="H13" s="119" t="inlineStr">
        <is>
          <t>Leadership</t>
        </is>
      </c>
      <c r="I13" s="119" t="inlineStr">
        <is>
          <t>Leadership</t>
        </is>
      </c>
      <c r="J13" s="114" t="n">
        <v>38</v>
      </c>
      <c r="K13" s="114" t="n">
        <v>26</v>
      </c>
      <c r="S13" s="115">
        <f>IF(OR(G13="",B13="",C13=""),"",IF(SUMPRODUCT(('Room Management'!$A$4:$A$103="D"&amp;B13)*('Room Management'!$B$4:$B$103=C13)*(INDEX('Room Management'!$C$4:$M$103,0,MATCH(G13,'Room Management'!$C$2:$M$2,0))&lt;&gt;""))&gt;0,"OK","CONFLICT"))</f>
        <v/>
      </c>
    </row>
    <row r="14" ht="15" customHeight="1" s="107">
      <c r="A14" s="110" t="n">
        <v>13</v>
      </c>
      <c r="B14" s="110" t="n">
        <v>1</v>
      </c>
      <c r="C14" s="111" t="inlineStr">
        <is>
          <t>15:00</t>
        </is>
      </c>
      <c r="D14" s="111" t="inlineStr">
        <is>
          <t>16:30</t>
        </is>
      </c>
      <c r="E14" s="112" t="inlineStr">
        <is>
          <t>Data Pipeline Design</t>
        </is>
      </c>
      <c r="F14" s="113" t="inlineStr">
        <is>
          <t>Wei Zhang</t>
        </is>
      </c>
      <c r="G14" s="113" t="inlineStr">
        <is>
          <t>Room B1</t>
        </is>
      </c>
      <c r="H14" s="113" t="inlineStr">
        <is>
          <t>Technical</t>
        </is>
      </c>
      <c r="I14" s="113" t="inlineStr">
        <is>
          <t>Technical</t>
        </is>
      </c>
      <c r="J14" s="114" t="n">
        <v>42</v>
      </c>
      <c r="K14" s="114" t="n">
        <v>29</v>
      </c>
      <c r="S14" s="115">
        <f>IF(OR(G14="",B14="",C14=""),"",IF(SUMPRODUCT(('Room Management'!$A$4:$A$103="D"&amp;B14)*('Room Management'!$B$4:$B$103=C14)*(INDEX('Room Management'!$C$4:$M$103,0,MATCH(G14,'Room Management'!$C$2:$M$2,0))&lt;&gt;""))&gt;0,"OK","CONFLICT"))</f>
        <v/>
      </c>
    </row>
    <row r="15" ht="15" customHeight="1" s="107">
      <c r="A15" s="116" t="n">
        <v>14</v>
      </c>
      <c r="B15" s="116" t="n">
        <v>1</v>
      </c>
      <c r="C15" s="117" t="inlineStr">
        <is>
          <t>15:00</t>
        </is>
      </c>
      <c r="D15" s="117" t="inlineStr">
        <is>
          <t>16:30</t>
        </is>
      </c>
      <c r="E15" s="118" t="inlineStr">
        <is>
          <t>Service Blueprinting</t>
        </is>
      </c>
      <c r="F15" s="119" t="inlineStr">
        <is>
          <t>Lena Müller</t>
        </is>
      </c>
      <c r="G15" s="119" t="inlineStr">
        <is>
          <t>Room C1</t>
        </is>
      </c>
      <c r="H15" s="119" t="inlineStr">
        <is>
          <t>Design Thinking</t>
        </is>
      </c>
      <c r="I15" s="119" t="inlineStr">
        <is>
          <t>Design Thinking</t>
        </is>
      </c>
      <c r="J15" s="114" t="n">
        <v>32</v>
      </c>
      <c r="K15" s="114" t="n">
        <v>22</v>
      </c>
      <c r="S15" s="115">
        <f>IF(OR(G15="",B15="",C15=""),"",IF(SUMPRODUCT(('Room Management'!$A$4:$A$103="D"&amp;B15)*('Room Management'!$B$4:$B$103=C15)*(INDEX('Room Management'!$C$4:$M$103,0,MATCH(G15,'Room Management'!$C$2:$M$2,0))&lt;&gt;""))&gt;0,"OK","CONFLICT"))</f>
        <v/>
      </c>
    </row>
    <row r="16" ht="15" customHeight="1" s="107">
      <c r="A16" s="110" t="n">
        <v>15</v>
      </c>
      <c r="B16" s="110" t="n">
        <v>1</v>
      </c>
      <c r="C16" s="111" t="inlineStr">
        <is>
          <t>15:00</t>
        </is>
      </c>
      <c r="D16" s="111" t="inlineStr">
        <is>
          <t>16:30</t>
        </is>
      </c>
      <c r="E16" s="112" t="inlineStr">
        <is>
          <t>Agile Ceremonies</t>
        </is>
      </c>
      <c r="F16" s="113" t="inlineStr">
        <is>
          <t>Rachel Green</t>
        </is>
      </c>
      <c r="G16" s="113" t="inlineStr">
        <is>
          <t>Room D1</t>
        </is>
      </c>
      <c r="H16" s="113" t="inlineStr">
        <is>
          <t>Operations</t>
        </is>
      </c>
      <c r="I16" s="113" t="inlineStr">
        <is>
          <t>Operations</t>
        </is>
      </c>
      <c r="J16" s="114" t="n">
        <v>28</v>
      </c>
      <c r="K16" s="114" t="n">
        <v>19</v>
      </c>
      <c r="S16" s="115">
        <f>IF(OR(G16="",B16="",C16=""),"",IF(SUMPRODUCT(('Room Management'!$A$4:$A$103="D"&amp;B16)*('Room Management'!$B$4:$B$103=C16)*(INDEX('Room Management'!$C$4:$M$103,0,MATCH(G16,'Room Management'!$C$2:$M$2,0))&lt;&gt;""))&gt;0,"OK","CONFLICT"))</f>
        <v/>
      </c>
    </row>
    <row r="17" ht="15" customHeight="1" s="107">
      <c r="A17" s="116" t="n">
        <v>16</v>
      </c>
      <c r="B17" s="116" t="n">
        <v>2</v>
      </c>
      <c r="C17" s="117" t="inlineStr">
        <is>
          <t>09:00</t>
        </is>
      </c>
      <c r="D17" s="117" t="inlineStr">
        <is>
          <t>10:30</t>
        </is>
      </c>
      <c r="E17" s="118" t="inlineStr">
        <is>
          <t>Emotional Intelligence</t>
        </is>
      </c>
      <c r="F17" s="119" t="inlineStr">
        <is>
          <t>Aisha Johnson</t>
        </is>
      </c>
      <c r="G17" s="119" t="inlineStr">
        <is>
          <t>Room A1</t>
        </is>
      </c>
      <c r="H17" s="119" t="inlineStr">
        <is>
          <t>Leadership</t>
        </is>
      </c>
      <c r="I17" s="119" t="inlineStr">
        <is>
          <t>Leadership</t>
        </is>
      </c>
      <c r="J17" s="114" t="n">
        <v>40</v>
      </c>
      <c r="K17" s="114" t="n">
        <v>28</v>
      </c>
      <c r="S17" s="115">
        <f>IF(OR(G17="",B17="",C17=""),"",IF(SUMPRODUCT(('Room Management'!$A$4:$A$103="D"&amp;B17)*('Room Management'!$B$4:$B$103=C17)*(INDEX('Room Management'!$C$4:$M$103,0,MATCH(G17,'Room Management'!$C$2:$M$2,0))&lt;&gt;""))&gt;0,"OK","CONFLICT"))</f>
        <v/>
      </c>
    </row>
    <row r="18" ht="15" customHeight="1" s="107">
      <c r="A18" s="110" t="n">
        <v>17</v>
      </c>
      <c r="B18" s="110" t="n">
        <v>2</v>
      </c>
      <c r="C18" s="111" t="inlineStr">
        <is>
          <t>09:00</t>
        </is>
      </c>
      <c r="D18" s="111" t="inlineStr">
        <is>
          <t>10:30</t>
        </is>
      </c>
      <c r="E18" s="112" t="inlineStr">
        <is>
          <t>Security Fundamentals</t>
        </is>
      </c>
      <c r="F18" s="113" t="inlineStr">
        <is>
          <t>Alex Novak</t>
        </is>
      </c>
      <c r="G18" s="113" t="inlineStr">
        <is>
          <t>Room B1</t>
        </is>
      </c>
      <c r="H18" s="113" t="inlineStr">
        <is>
          <t>Technical</t>
        </is>
      </c>
      <c r="I18" s="113" t="inlineStr">
        <is>
          <t>Technical</t>
        </is>
      </c>
      <c r="J18" s="114" t="n">
        <v>48</v>
      </c>
      <c r="K18" s="114" t="n">
        <v>33</v>
      </c>
      <c r="S18" s="115">
        <f>IF(OR(G18="",B18="",C18=""),"",IF(SUMPRODUCT(('Room Management'!$A$4:$A$103="D"&amp;B18)*('Room Management'!$B$4:$B$103=C18)*(INDEX('Room Management'!$C$4:$M$103,0,MATCH(G18,'Room Management'!$C$2:$M$2,0))&lt;&gt;""))&gt;0,"OK","CONFLICT"))</f>
        <v/>
      </c>
    </row>
    <row r="19" ht="15" customHeight="1" s="107">
      <c r="A19" s="116" t="n">
        <v>18</v>
      </c>
      <c r="B19" s="116" t="n">
        <v>2</v>
      </c>
      <c r="C19" s="117" t="inlineStr">
        <is>
          <t>09:00</t>
        </is>
      </c>
      <c r="D19" s="117" t="inlineStr">
        <is>
          <t>10:30</t>
        </is>
      </c>
      <c r="E19" s="118" t="inlineStr">
        <is>
          <t>Design Systems</t>
        </is>
      </c>
      <c r="F19" s="119" t="inlineStr">
        <is>
          <t>Yuki Tanaka</t>
        </is>
      </c>
      <c r="G19" s="119" t="inlineStr">
        <is>
          <t>Room C1</t>
        </is>
      </c>
      <c r="H19" s="119" t="inlineStr">
        <is>
          <t>Design Thinking</t>
        </is>
      </c>
      <c r="I19" s="119" t="inlineStr">
        <is>
          <t>Design Thinking</t>
        </is>
      </c>
      <c r="J19" s="114" t="n">
        <v>35</v>
      </c>
      <c r="K19" s="114" t="n">
        <v>24</v>
      </c>
      <c r="S19" s="115">
        <f>IF(OR(G19="",B19="",C19=""),"",IF(SUMPRODUCT(('Room Management'!$A$4:$A$103="D"&amp;B19)*('Room Management'!$B$4:$B$103=C19)*(INDEX('Room Management'!$C$4:$M$103,0,MATCH(G19,'Room Management'!$C$2:$M$2,0))&lt;&gt;""))&gt;0,"OK","CONFLICT"))</f>
        <v/>
      </c>
    </row>
    <row r="20" ht="15" customHeight="1" s="107">
      <c r="A20" s="110" t="n">
        <v>19</v>
      </c>
      <c r="B20" s="110" t="n">
        <v>2</v>
      </c>
      <c r="C20" s="111" t="inlineStr">
        <is>
          <t>09:00</t>
        </is>
      </c>
      <c r="D20" s="111" t="inlineStr">
        <is>
          <t>10:30</t>
        </is>
      </c>
      <c r="E20" s="112" t="inlineStr">
        <is>
          <t>Capacity Planning</t>
        </is>
      </c>
      <c r="F20" s="113" t="inlineStr">
        <is>
          <t>James Wright</t>
        </is>
      </c>
      <c r="G20" s="113" t="inlineStr">
        <is>
          <t>Room D1</t>
        </is>
      </c>
      <c r="H20" s="113" t="inlineStr">
        <is>
          <t>Operations</t>
        </is>
      </c>
      <c r="I20" s="113" t="inlineStr">
        <is>
          <t>Operations</t>
        </is>
      </c>
      <c r="J20" s="114" t="n">
        <v>30</v>
      </c>
      <c r="K20" s="114" t="n">
        <v>21</v>
      </c>
      <c r="S20" s="115">
        <f>IF(OR(G20="",B20="",C20=""),"",IF(SUMPRODUCT(('Room Management'!$A$4:$A$103="D"&amp;B20)*('Room Management'!$B$4:$B$103=C20)*(INDEX('Room Management'!$C$4:$M$103,0,MATCH(G20,'Room Management'!$C$2:$M$2,0))&lt;&gt;""))&gt;0,"OK","CONFLICT"))</f>
        <v/>
      </c>
    </row>
    <row r="21" ht="15" customHeight="1" s="107">
      <c r="A21" s="116" t="n">
        <v>20</v>
      </c>
      <c r="B21" s="116" t="n">
        <v>2</v>
      </c>
      <c r="C21" s="117" t="inlineStr">
        <is>
          <t>10:30</t>
        </is>
      </c>
      <c r="D21" s="117" t="inlineStr">
        <is>
          <t>11:00</t>
        </is>
      </c>
      <c r="E21" s="118" t="inlineStr">
        <is>
          <t>Morning Break</t>
        </is>
      </c>
      <c r="F21" s="119" t="n"/>
      <c r="G21" s="119" t="inlineStr">
        <is>
          <t>Atrium</t>
        </is>
      </c>
      <c r="H21" s="119" t="inlineStr">
        <is>
          <t>Break</t>
        </is>
      </c>
      <c r="I21" s="119" t="inlineStr">
        <is>
          <t>all</t>
        </is>
      </c>
      <c r="J21" s="114" t="n">
        <v>200</v>
      </c>
      <c r="K21" s="114" t="n">
        <v>200</v>
      </c>
      <c r="S21" s="115">
        <f>IF(OR(G21="",B21="",C21=""),"",IF(SUMPRODUCT(('Room Management'!$A$4:$A$103="D"&amp;B21)*('Room Management'!$B$4:$B$103=C21)*(INDEX('Room Management'!$C$4:$M$103,0,MATCH(G21,'Room Management'!$C$2:$M$2,0))&lt;&gt;""))&gt;0,"OK","CONFLICT"))</f>
        <v/>
      </c>
    </row>
    <row r="22" ht="15" customHeight="1" s="107">
      <c r="A22" s="110" t="n">
        <v>21</v>
      </c>
      <c r="B22" s="110" t="n">
        <v>2</v>
      </c>
      <c r="C22" s="111" t="inlineStr">
        <is>
          <t>11:00</t>
        </is>
      </c>
      <c r="D22" s="111" t="inlineStr">
        <is>
          <t>12:00</t>
        </is>
      </c>
      <c r="E22" s="112" t="inlineStr">
        <is>
          <t>Panel: Future of Work</t>
        </is>
      </c>
      <c r="F22" s="113" t="inlineStr">
        <is>
          <t>Multiple Speakers</t>
        </is>
      </c>
      <c r="G22" s="113" t="inlineStr">
        <is>
          <t>Main Hall</t>
        </is>
      </c>
      <c r="H22" s="113" t="inlineStr">
        <is>
          <t>Keynote</t>
        </is>
      </c>
      <c r="I22" s="113" t="inlineStr">
        <is>
          <t>all</t>
        </is>
      </c>
      <c r="J22" s="114" t="n">
        <v>180</v>
      </c>
      <c r="K22" s="114" t="n">
        <v>125</v>
      </c>
      <c r="S22" s="115">
        <f>IF(OR(G22="",B22="",C22=""),"",IF(SUMPRODUCT(('Room Management'!$A$4:$A$103="D"&amp;B22)*('Room Management'!$B$4:$B$103=C22)*(INDEX('Room Management'!$C$4:$M$103,0,MATCH(G22,'Room Management'!$C$2:$M$2,0))&lt;&gt;""))&gt;0,"OK","CONFLICT"))</f>
        <v/>
      </c>
    </row>
    <row r="23" ht="15" customHeight="1" s="107">
      <c r="A23" s="116" t="n">
        <v>22</v>
      </c>
      <c r="B23" s="116" t="n">
        <v>2</v>
      </c>
      <c r="C23" s="117" t="inlineStr">
        <is>
          <t>12:00</t>
        </is>
      </c>
      <c r="D23" s="117" t="inlineStr">
        <is>
          <t>13:00</t>
        </is>
      </c>
      <c r="E23" s="118" t="inlineStr">
        <is>
          <t>Lunch &amp; Networking</t>
        </is>
      </c>
      <c r="F23" s="119" t="n"/>
      <c r="G23" s="119" t="inlineStr">
        <is>
          <t>Atrium</t>
        </is>
      </c>
      <c r="H23" s="119" t="inlineStr">
        <is>
          <t>Break</t>
        </is>
      </c>
      <c r="I23" s="119" t="inlineStr">
        <is>
          <t>all</t>
        </is>
      </c>
      <c r="J23" s="114" t="n">
        <v>200</v>
      </c>
      <c r="K23" s="114" t="n">
        <v>200</v>
      </c>
      <c r="S23" s="115">
        <f>IF(OR(G23="",B23="",C23=""),"",IF(SUMPRODUCT(('Room Management'!$A$4:$A$103="D"&amp;B23)*('Room Management'!$B$4:$B$103=C23)*(INDEX('Room Management'!$C$4:$M$103,0,MATCH(G23,'Room Management'!$C$2:$M$2,0))&lt;&gt;""))&gt;0,"OK","CONFLICT"))</f>
        <v/>
      </c>
    </row>
    <row r="24" ht="15" customHeight="1" s="107">
      <c r="A24" s="110" t="n">
        <v>23</v>
      </c>
      <c r="B24" s="110" t="n">
        <v>2</v>
      </c>
      <c r="C24" s="111" t="inlineStr">
        <is>
          <t>13:00</t>
        </is>
      </c>
      <c r="D24" s="111" t="inlineStr">
        <is>
          <t>14:30</t>
        </is>
      </c>
      <c r="E24" s="112" t="inlineStr">
        <is>
          <t>Conflict Resolution</t>
        </is>
      </c>
      <c r="F24" s="113" t="inlineStr">
        <is>
          <t>Mark Torres</t>
        </is>
      </c>
      <c r="G24" s="113" t="inlineStr">
        <is>
          <t>Room A1</t>
        </is>
      </c>
      <c r="H24" s="113" t="inlineStr">
        <is>
          <t>Leadership</t>
        </is>
      </c>
      <c r="I24" s="113" t="inlineStr">
        <is>
          <t>Leadership</t>
        </is>
      </c>
      <c r="J24" s="114" t="n">
        <v>40</v>
      </c>
      <c r="K24" s="114" t="n">
        <v>28</v>
      </c>
      <c r="S24" s="115">
        <f>IF(OR(G24="",B24="",C24=""),"",IF(SUMPRODUCT(('Room Management'!$A$4:$A$103="D"&amp;B24)*('Room Management'!$B$4:$B$103=C24)*(INDEX('Room Management'!$C$4:$M$103,0,MATCH(G24,'Room Management'!$C$2:$M$2,0))&lt;&gt;""))&gt;0,"OK","CONFLICT"))</f>
        <v/>
      </c>
    </row>
    <row r="25" ht="15" customHeight="1" s="107">
      <c r="A25" s="116" t="n">
        <v>24</v>
      </c>
      <c r="B25" s="116" t="n">
        <v>2</v>
      </c>
      <c r="C25" s="117" t="inlineStr">
        <is>
          <t>13:00</t>
        </is>
      </c>
      <c r="D25" s="117" t="inlineStr">
        <is>
          <t>14:30</t>
        </is>
      </c>
      <c r="E25" s="118" t="inlineStr">
        <is>
          <t>DevOps Practices</t>
        </is>
      </c>
      <c r="F25" s="119" t="inlineStr">
        <is>
          <t>Priya Sharma</t>
        </is>
      </c>
      <c r="G25" s="119" t="inlineStr">
        <is>
          <t>Room B1</t>
        </is>
      </c>
      <c r="H25" s="119" t="inlineStr">
        <is>
          <t>Technical</t>
        </is>
      </c>
      <c r="I25" s="119" t="inlineStr">
        <is>
          <t>Technical</t>
        </is>
      </c>
      <c r="J25" s="114" t="n">
        <v>50</v>
      </c>
      <c r="K25" s="114" t="n">
        <v>35</v>
      </c>
      <c r="S25" s="115">
        <f>IF(OR(G25="",B25="",C25=""),"",IF(SUMPRODUCT(('Room Management'!$A$4:$A$103="D"&amp;B25)*('Room Management'!$B$4:$B$103=C25)*(INDEX('Room Management'!$C$4:$M$103,0,MATCH(G25,'Room Management'!$C$2:$M$2,0))&lt;&gt;""))&gt;0,"OK","CONFLICT"))</f>
        <v/>
      </c>
    </row>
    <row r="26" ht="15" customHeight="1" s="107">
      <c r="A26" s="110" t="n">
        <v>25</v>
      </c>
      <c r="B26" s="110" t="n">
        <v>2</v>
      </c>
      <c r="C26" s="111" t="inlineStr">
        <is>
          <t>13:00</t>
        </is>
      </c>
      <c r="D26" s="111" t="inlineStr">
        <is>
          <t>14:30</t>
        </is>
      </c>
      <c r="E26" s="112" t="inlineStr">
        <is>
          <t>Accessibility Workshop</t>
        </is>
      </c>
      <c r="F26" s="113" t="inlineStr">
        <is>
          <t>Carlos Ruiz</t>
        </is>
      </c>
      <c r="G26" s="113" t="inlineStr">
        <is>
          <t>Room C1</t>
        </is>
      </c>
      <c r="H26" s="113" t="inlineStr">
        <is>
          <t>Design Thinking</t>
        </is>
      </c>
      <c r="I26" s="113" t="inlineStr">
        <is>
          <t>Design Thinking</t>
        </is>
      </c>
      <c r="J26" s="114" t="n">
        <v>36</v>
      </c>
      <c r="K26" s="114" t="n">
        <v>25</v>
      </c>
      <c r="S26" s="115">
        <f>IF(OR(G26="",B26="",C26=""),"",IF(SUMPRODUCT(('Room Management'!$A$4:$A$103="D"&amp;B26)*('Room Management'!$B$4:$B$103=C26)*(INDEX('Room Management'!$C$4:$M$103,0,MATCH(G26,'Room Management'!$C$2:$M$2,0))&lt;&gt;""))&gt;0,"OK","CONFLICT"))</f>
        <v/>
      </c>
    </row>
    <row r="27" ht="15" customHeight="1" s="107">
      <c r="A27" s="116" t="n">
        <v>26</v>
      </c>
      <c r="B27" s="116" t="n">
        <v>2</v>
      </c>
      <c r="C27" s="117" t="inlineStr">
        <is>
          <t>13:00</t>
        </is>
      </c>
      <c r="D27" s="117" t="inlineStr">
        <is>
          <t>14:30</t>
        </is>
      </c>
      <c r="E27" s="118" t="inlineStr">
        <is>
          <t>Vendor Management</t>
        </is>
      </c>
      <c r="F27" s="119" t="inlineStr">
        <is>
          <t>Nina Petrov</t>
        </is>
      </c>
      <c r="G27" s="119" t="inlineStr">
        <is>
          <t>Room D1</t>
        </is>
      </c>
      <c r="H27" s="119" t="inlineStr">
        <is>
          <t>Operations</t>
        </is>
      </c>
      <c r="I27" s="119" t="inlineStr">
        <is>
          <t>Operations</t>
        </is>
      </c>
      <c r="J27" s="114" t="n">
        <v>28</v>
      </c>
      <c r="K27" s="114" t="n">
        <v>19</v>
      </c>
      <c r="S27" s="115">
        <f>IF(OR(G27="",B27="",C27=""),"",IF(SUMPRODUCT(('Room Management'!$A$4:$A$103="D"&amp;B27)*('Room Management'!$B$4:$B$103=C27)*(INDEX('Room Management'!$C$4:$M$103,0,MATCH(G27,'Room Management'!$C$2:$M$2,0))&lt;&gt;""))&gt;0,"OK","CONFLICT"))</f>
        <v/>
      </c>
    </row>
    <row r="28" ht="15" customHeight="1" s="107">
      <c r="A28" s="110" t="n">
        <v>27</v>
      </c>
      <c r="B28" s="110" t="n">
        <v>2</v>
      </c>
      <c r="C28" s="111" t="inlineStr">
        <is>
          <t>14:30</t>
        </is>
      </c>
      <c r="D28" s="111" t="inlineStr">
        <is>
          <t>15:00</t>
        </is>
      </c>
      <c r="E28" s="112" t="inlineStr">
        <is>
          <t>Afternoon Break</t>
        </is>
      </c>
      <c r="F28" s="113" t="n"/>
      <c r="G28" s="113" t="inlineStr">
        <is>
          <t>Atrium</t>
        </is>
      </c>
      <c r="H28" s="113" t="inlineStr">
        <is>
          <t>Break</t>
        </is>
      </c>
      <c r="I28" s="113" t="inlineStr">
        <is>
          <t>all</t>
        </is>
      </c>
      <c r="J28" s="114" t="n">
        <v>200</v>
      </c>
      <c r="K28" s="114" t="n">
        <v>200</v>
      </c>
      <c r="S28" s="115">
        <f>IF(OR(G28="",B28="",C28=""),"",IF(SUMPRODUCT(('Room Management'!$A$4:$A$103="D"&amp;B28)*('Room Management'!$B$4:$B$103=C28)*(INDEX('Room Management'!$C$4:$M$103,0,MATCH(G28,'Room Management'!$C$2:$M$2,0))&lt;&gt;""))&gt;0,"OK","CONFLICT"))</f>
        <v/>
      </c>
    </row>
    <row r="29" ht="15" customHeight="1" s="107">
      <c r="A29" s="116" t="n">
        <v>28</v>
      </c>
      <c r="B29" s="116" t="n">
        <v>2</v>
      </c>
      <c r="C29" s="117" t="inlineStr">
        <is>
          <t>15:00</t>
        </is>
      </c>
      <c r="D29" s="117" t="inlineStr">
        <is>
          <t>16:30</t>
        </is>
      </c>
      <c r="E29" s="118" t="inlineStr">
        <is>
          <t>Strategic Planning</t>
        </is>
      </c>
      <c r="F29" s="119" t="inlineStr">
        <is>
          <t>Tom Bradley</t>
        </is>
      </c>
      <c r="G29" s="119" t="inlineStr">
        <is>
          <t>Room A1</t>
        </is>
      </c>
      <c r="H29" s="119" t="inlineStr">
        <is>
          <t>Leadership</t>
        </is>
      </c>
      <c r="I29" s="119" t="inlineStr">
        <is>
          <t>Leadership</t>
        </is>
      </c>
      <c r="J29" s="114" t="n">
        <v>42</v>
      </c>
      <c r="K29" s="114" t="n">
        <v>29</v>
      </c>
      <c r="S29" s="115">
        <f>IF(OR(G29="",B29="",C29=""),"",IF(SUMPRODUCT(('Room Management'!$A$4:$A$103="D"&amp;B29)*('Room Management'!$B$4:$B$103=C29)*(INDEX('Room Management'!$C$4:$M$103,0,MATCH(G29,'Room Management'!$C$2:$M$2,0))&lt;&gt;""))&gt;0,"OK","CONFLICT"))</f>
        <v/>
      </c>
    </row>
    <row r="30" ht="15" customHeight="1" s="107">
      <c r="A30" s="110" t="n">
        <v>29</v>
      </c>
      <c r="B30" s="110" t="n">
        <v>2</v>
      </c>
      <c r="C30" s="111" t="inlineStr">
        <is>
          <t>15:00</t>
        </is>
      </c>
      <c r="D30" s="111" t="inlineStr">
        <is>
          <t>16:30</t>
        </is>
      </c>
      <c r="E30" s="112" t="inlineStr">
        <is>
          <t>Performance Testing</t>
        </is>
      </c>
      <c r="F30" s="113" t="inlineStr">
        <is>
          <t>David Kim</t>
        </is>
      </c>
      <c r="G30" s="113" t="inlineStr">
        <is>
          <t>Room B1</t>
        </is>
      </c>
      <c r="H30" s="113" t="inlineStr">
        <is>
          <t>Technical</t>
        </is>
      </c>
      <c r="I30" s="113" t="inlineStr">
        <is>
          <t>Technical</t>
        </is>
      </c>
      <c r="J30" s="114" t="n">
        <v>44</v>
      </c>
      <c r="K30" s="114" t="n">
        <v>30</v>
      </c>
      <c r="S30" s="115">
        <f>IF(OR(G30="",B30="",C30=""),"",IF(SUMPRODUCT(('Room Management'!$A$4:$A$103="D"&amp;B30)*('Room Management'!$B$4:$B$103=C30)*(INDEX('Room Management'!$C$4:$M$103,0,MATCH(G30,'Room Management'!$C$2:$M$2,0))&lt;&gt;""))&gt;0,"OK","CONFLICT"))</f>
        <v/>
      </c>
    </row>
    <row r="31" ht="15" customHeight="1" s="107">
      <c r="A31" s="116" t="n">
        <v>30</v>
      </c>
      <c r="B31" s="116" t="n">
        <v>2</v>
      </c>
      <c r="C31" s="117" t="inlineStr">
        <is>
          <t>15:00</t>
        </is>
      </c>
      <c r="D31" s="117" t="inlineStr">
        <is>
          <t>16:30</t>
        </is>
      </c>
      <c r="E31" s="118" t="inlineStr">
        <is>
          <t>User Research Methods</t>
        </is>
      </c>
      <c r="F31" s="119" t="inlineStr">
        <is>
          <t>Yuki Tanaka</t>
        </is>
      </c>
      <c r="G31" s="119" t="inlineStr">
        <is>
          <t>Room C1</t>
        </is>
      </c>
      <c r="H31" s="119" t="inlineStr">
        <is>
          <t>Design Thinking</t>
        </is>
      </c>
      <c r="I31" s="119" t="inlineStr">
        <is>
          <t>Design Thinking</t>
        </is>
      </c>
      <c r="J31" s="114" t="n">
        <v>34</v>
      </c>
      <c r="K31" s="114" t="n">
        <v>23</v>
      </c>
      <c r="S31" s="115">
        <f>IF(OR(G31="",B31="",C31=""),"",IF(SUMPRODUCT(('Room Management'!$A$4:$A$103="D"&amp;B31)*('Room Management'!$B$4:$B$103=C31)*(INDEX('Room Management'!$C$4:$M$103,0,MATCH(G31,'Room Management'!$C$2:$M$2,0))&lt;&gt;""))&gt;0,"OK","CONFLICT"))</f>
        <v/>
      </c>
    </row>
    <row r="32" ht="15" customHeight="1" s="107">
      <c r="A32" s="110" t="n">
        <v>31</v>
      </c>
      <c r="B32" s="110" t="n">
        <v>2</v>
      </c>
      <c r="C32" s="111" t="inlineStr">
        <is>
          <t>15:00</t>
        </is>
      </c>
      <c r="D32" s="111" t="inlineStr">
        <is>
          <t>16:30</t>
        </is>
      </c>
      <c r="E32" s="112" t="inlineStr">
        <is>
          <t>Budget Forecasting</t>
        </is>
      </c>
      <c r="F32" s="113" t="inlineStr">
        <is>
          <t>Rachel Green</t>
        </is>
      </c>
      <c r="G32" s="113" t="inlineStr">
        <is>
          <t>Room D1</t>
        </is>
      </c>
      <c r="H32" s="113" t="inlineStr">
        <is>
          <t>Operations</t>
        </is>
      </c>
      <c r="I32" s="113" t="inlineStr">
        <is>
          <t>Operations</t>
        </is>
      </c>
      <c r="J32" s="114" t="n">
        <v>26</v>
      </c>
      <c r="K32" s="114" t="n">
        <v>18</v>
      </c>
      <c r="S32" s="115">
        <f>IF(OR(G32="",B32="",C32=""),"",IF(SUMPRODUCT(('Room Management'!$A$4:$A$103="D"&amp;B32)*('Room Management'!$B$4:$B$103=C32)*(INDEX('Room Management'!$C$4:$M$103,0,MATCH(G32,'Room Management'!$C$2:$M$2,0))&lt;&gt;""))&gt;0,"OK","CONFLICT"))</f>
        <v/>
      </c>
    </row>
    <row r="33" ht="15" customHeight="1" s="107">
      <c r="A33" s="116" t="n">
        <v>32</v>
      </c>
      <c r="B33" s="116" t="n">
        <v>3</v>
      </c>
      <c r="C33" s="117" t="inlineStr">
        <is>
          <t>09:00</t>
        </is>
      </c>
      <c r="D33" s="117" t="inlineStr">
        <is>
          <t>10:00</t>
        </is>
      </c>
      <c r="E33" s="118" t="inlineStr">
        <is>
          <t>Midweek Keynote</t>
        </is>
      </c>
      <c r="F33" s="119" t="inlineStr">
        <is>
          <t>Dr. Sarah Chen</t>
        </is>
      </c>
      <c r="G33" s="119" t="inlineStr">
        <is>
          <t>Main Hall</t>
        </is>
      </c>
      <c r="H33" s="119" t="inlineStr">
        <is>
          <t>Keynote</t>
        </is>
      </c>
      <c r="I33" s="119" t="inlineStr">
        <is>
          <t>all</t>
        </is>
      </c>
      <c r="J33" s="114" t="n">
        <v>190</v>
      </c>
      <c r="K33" s="114" t="n">
        <v>133</v>
      </c>
      <c r="S33" s="115">
        <f>IF(OR(G33="",B33="",C33=""),"",IF(SUMPRODUCT(('Room Management'!$A$4:$A$103="D"&amp;B33)*('Room Management'!$B$4:$B$103=C33)*(INDEX('Room Management'!$C$4:$M$103,0,MATCH(G33,'Room Management'!$C$2:$M$2,0))&lt;&gt;""))&gt;0,"OK","CONFLICT"))</f>
        <v/>
      </c>
    </row>
    <row r="34" ht="15" customHeight="1" s="107">
      <c r="A34" s="110" t="n">
        <v>33</v>
      </c>
      <c r="B34" s="110" t="n">
        <v>3</v>
      </c>
      <c r="C34" s="111" t="inlineStr">
        <is>
          <t>10:00</t>
        </is>
      </c>
      <c r="D34" s="111" t="inlineStr">
        <is>
          <t>10:30</t>
        </is>
      </c>
      <c r="E34" s="112" t="inlineStr">
        <is>
          <t>Morning Break</t>
        </is>
      </c>
      <c r="F34" s="113" t="n"/>
      <c r="G34" s="113" t="inlineStr">
        <is>
          <t>Atrium</t>
        </is>
      </c>
      <c r="H34" s="113" t="inlineStr">
        <is>
          <t>Break</t>
        </is>
      </c>
      <c r="I34" s="113" t="inlineStr">
        <is>
          <t>all</t>
        </is>
      </c>
      <c r="J34" s="114" t="n">
        <v>200</v>
      </c>
      <c r="K34" s="114" t="n">
        <v>200</v>
      </c>
      <c r="S34" s="115">
        <f>IF(OR(G34="",B34="",C34=""),"",IF(SUMPRODUCT(('Room Management'!$A$4:$A$103="D"&amp;B34)*('Room Management'!$B$4:$B$103=C34)*(INDEX('Room Management'!$C$4:$M$103,0,MATCH(G34,'Room Management'!$C$2:$M$2,0))&lt;&gt;""))&gt;0,"OK","CONFLICT"))</f>
        <v/>
      </c>
    </row>
    <row r="35" ht="15" customHeight="1" s="107">
      <c r="A35" s="116" t="n">
        <v>34</v>
      </c>
      <c r="B35" s="116" t="n">
        <v>3</v>
      </c>
      <c r="C35" s="117" t="inlineStr">
        <is>
          <t>10:30</t>
        </is>
      </c>
      <c r="D35" s="117" t="inlineStr">
        <is>
          <t>12:00</t>
        </is>
      </c>
      <c r="E35" s="118" t="inlineStr">
        <is>
          <t>Cross-Team Collaboration</t>
        </is>
      </c>
      <c r="F35" s="119" t="inlineStr">
        <is>
          <t>Aisha Johnson</t>
        </is>
      </c>
      <c r="G35" s="119" t="inlineStr">
        <is>
          <t>Room A1</t>
        </is>
      </c>
      <c r="H35" s="119" t="inlineStr">
        <is>
          <t>Leadership</t>
        </is>
      </c>
      <c r="I35" s="119" t="inlineStr">
        <is>
          <t>Leadership</t>
        </is>
      </c>
      <c r="J35" s="114" t="n">
        <v>40</v>
      </c>
      <c r="K35" s="114" t="n">
        <v>28</v>
      </c>
      <c r="S35" s="115">
        <f>IF(OR(G35="",B35="",C35=""),"",IF(SUMPRODUCT(('Room Management'!$A$4:$A$103="D"&amp;B35)*('Room Management'!$B$4:$B$103=C35)*(INDEX('Room Management'!$C$4:$M$103,0,MATCH(G35,'Room Management'!$C$2:$M$2,0))&lt;&gt;""))&gt;0,"OK","CONFLICT"))</f>
        <v/>
      </c>
    </row>
    <row r="36" ht="15" customHeight="1" s="107">
      <c r="A36" s="110" t="n">
        <v>35</v>
      </c>
      <c r="B36" s="110" t="n">
        <v>3</v>
      </c>
      <c r="C36" s="111" t="inlineStr">
        <is>
          <t>10:30</t>
        </is>
      </c>
      <c r="D36" s="111" t="inlineStr">
        <is>
          <t>12:00</t>
        </is>
      </c>
      <c r="E36" s="112" t="inlineStr">
        <is>
          <t>AI/ML Integration</t>
        </is>
      </c>
      <c r="F36" s="113" t="inlineStr">
        <is>
          <t>Wei Zhang</t>
        </is>
      </c>
      <c r="G36" s="113" t="inlineStr">
        <is>
          <t>Room B1</t>
        </is>
      </c>
      <c r="H36" s="113" t="inlineStr">
        <is>
          <t>Technical</t>
        </is>
      </c>
      <c r="I36" s="113" t="inlineStr">
        <is>
          <t>Technical</t>
        </is>
      </c>
      <c r="J36" s="114" t="n">
        <v>52</v>
      </c>
      <c r="K36" s="114" t="n">
        <v>36</v>
      </c>
      <c r="S36" s="115">
        <f>IF(OR(G36="",B36="",C36=""),"",IF(SUMPRODUCT(('Room Management'!$A$4:$A$103="D"&amp;B36)*('Room Management'!$B$4:$B$103=C36)*(INDEX('Room Management'!$C$4:$M$103,0,MATCH(G36,'Room Management'!$C$2:$M$2,0))&lt;&gt;""))&gt;0,"OK","CONFLICT"))</f>
        <v/>
      </c>
    </row>
    <row r="37" ht="15" customHeight="1" s="107">
      <c r="A37" s="116" t="n">
        <v>36</v>
      </c>
      <c r="B37" s="116" t="n">
        <v>3</v>
      </c>
      <c r="C37" s="117" t="inlineStr">
        <is>
          <t>10:30</t>
        </is>
      </c>
      <c r="D37" s="117" t="inlineStr">
        <is>
          <t>12:00</t>
        </is>
      </c>
      <c r="E37" s="118" t="inlineStr">
        <is>
          <t>Workshop Facilitation</t>
        </is>
      </c>
      <c r="F37" s="119" t="inlineStr">
        <is>
          <t>Lena Müller</t>
        </is>
      </c>
      <c r="G37" s="119" t="inlineStr">
        <is>
          <t>Room C1</t>
        </is>
      </c>
      <c r="H37" s="119" t="inlineStr">
        <is>
          <t>Design Thinking</t>
        </is>
      </c>
      <c r="I37" s="119" t="inlineStr">
        <is>
          <t>Design Thinking</t>
        </is>
      </c>
      <c r="J37" s="114" t="n">
        <v>34</v>
      </c>
      <c r="K37" s="114" t="n">
        <v>23</v>
      </c>
      <c r="S37" s="115">
        <f>IF(OR(G37="",B37="",C37=""),"",IF(SUMPRODUCT(('Room Management'!$A$4:$A$103="D"&amp;B37)*('Room Management'!$B$4:$B$103=C37)*(INDEX('Room Management'!$C$4:$M$103,0,MATCH(G37,'Room Management'!$C$2:$M$2,0))&lt;&gt;""))&gt;0,"OK","CONFLICT"))</f>
        <v/>
      </c>
    </row>
    <row r="38" ht="15" customHeight="1" s="107">
      <c r="A38" s="110" t="n">
        <v>37</v>
      </c>
      <c r="B38" s="110" t="n">
        <v>3</v>
      </c>
      <c r="C38" s="111" t="inlineStr">
        <is>
          <t>10:30</t>
        </is>
      </c>
      <c r="D38" s="111" t="inlineStr">
        <is>
          <t>12:00</t>
        </is>
      </c>
      <c r="E38" s="112" t="inlineStr">
        <is>
          <t>Incident Response</t>
        </is>
      </c>
      <c r="F38" s="113" t="inlineStr">
        <is>
          <t>Alex Novak</t>
        </is>
      </c>
      <c r="G38" s="113" t="inlineStr">
        <is>
          <t>Room D1</t>
        </is>
      </c>
      <c r="H38" s="113" t="inlineStr">
        <is>
          <t>Operations</t>
        </is>
      </c>
      <c r="I38" s="113" t="inlineStr">
        <is>
          <t>Operations</t>
        </is>
      </c>
      <c r="J38" s="114" t="n">
        <v>30</v>
      </c>
      <c r="K38" s="114" t="n">
        <v>21</v>
      </c>
      <c r="S38" s="115">
        <f>IF(OR(G38="",B38="",C38=""),"",IF(SUMPRODUCT(('Room Management'!$A$4:$A$103="D"&amp;B38)*('Room Management'!$B$4:$B$103=C38)*(INDEX('Room Management'!$C$4:$M$103,0,MATCH(G38,'Room Management'!$C$2:$M$2,0))&lt;&gt;""))&gt;0,"OK","CONFLICT"))</f>
        <v/>
      </c>
    </row>
    <row r="39" ht="15" customHeight="1" s="107">
      <c r="A39" s="116" t="n">
        <v>38</v>
      </c>
      <c r="B39" s="116" t="n">
        <v>3</v>
      </c>
      <c r="C39" s="117" t="inlineStr">
        <is>
          <t>12:00</t>
        </is>
      </c>
      <c r="D39" s="117" t="inlineStr">
        <is>
          <t>13:00</t>
        </is>
      </c>
      <c r="E39" s="118" t="inlineStr">
        <is>
          <t>Lunch &amp; Networking</t>
        </is>
      </c>
      <c r="F39" s="119" t="n"/>
      <c r="G39" s="119" t="inlineStr">
        <is>
          <t>Atrium</t>
        </is>
      </c>
      <c r="H39" s="119" t="inlineStr">
        <is>
          <t>Break</t>
        </is>
      </c>
      <c r="I39" s="119" t="inlineStr">
        <is>
          <t>all</t>
        </is>
      </c>
      <c r="J39" s="114" t="n">
        <v>200</v>
      </c>
      <c r="K39" s="114" t="n">
        <v>200</v>
      </c>
      <c r="S39" s="115">
        <f>IF(OR(G39="",B39="",C39=""),"",IF(SUMPRODUCT(('Room Management'!$A$4:$A$103="D"&amp;B39)*('Room Management'!$B$4:$B$103=C39)*(INDEX('Room Management'!$C$4:$M$103,0,MATCH(G39,'Room Management'!$C$2:$M$2,0))&lt;&gt;""))&gt;0,"OK","CONFLICT"))</f>
        <v/>
      </c>
    </row>
    <row r="40" ht="15" customHeight="1" s="107">
      <c r="A40" s="110" t="n">
        <v>39</v>
      </c>
      <c r="B40" s="110" t="n">
        <v>3</v>
      </c>
      <c r="C40" s="111" t="inlineStr">
        <is>
          <t>13:00</t>
        </is>
      </c>
      <c r="D40" s="111" t="inlineStr">
        <is>
          <t>16:30</t>
        </is>
      </c>
      <c r="E40" s="112" t="inlineStr">
        <is>
          <t>Cross-Track Hackathon</t>
        </is>
      </c>
      <c r="F40" s="113" t="inlineStr">
        <is>
          <t>All Facilitators</t>
        </is>
      </c>
      <c r="G40" s="113" t="inlineStr">
        <is>
          <t>All Rooms</t>
        </is>
      </c>
      <c r="H40" s="113" t="inlineStr">
        <is>
          <t>Keynote</t>
        </is>
      </c>
      <c r="I40" s="113" t="inlineStr">
        <is>
          <t>all</t>
        </is>
      </c>
      <c r="J40" s="114" t="n">
        <v>200</v>
      </c>
      <c r="K40" s="114" t="n">
        <v>140</v>
      </c>
      <c r="S40" s="115">
        <f>IF(OR(G40="",B40="",C40=""),"",IF(SUMPRODUCT(('Room Management'!$A$4:$A$103="D"&amp;B40)*('Room Management'!$B$4:$B$103=C40)*(INDEX('Room Management'!$C$4:$M$103,0,MATCH(G40,'Room Management'!$C$2:$M$2,0))&lt;&gt;""))&gt;0,"OK","CONFLICT"))</f>
        <v/>
      </c>
    </row>
    <row r="41" ht="15" customHeight="1" s="107">
      <c r="A41" s="116" t="n">
        <v>40</v>
      </c>
      <c r="B41" s="116" t="n">
        <v>4</v>
      </c>
      <c r="C41" s="117" t="inlineStr">
        <is>
          <t>09:00</t>
        </is>
      </c>
      <c r="D41" s="117" t="inlineStr">
        <is>
          <t>10:30</t>
        </is>
      </c>
      <c r="E41" s="118" t="inlineStr">
        <is>
          <t>Coaching Skills</t>
        </is>
      </c>
      <c r="F41" s="119" t="inlineStr">
        <is>
          <t>Mark Torres</t>
        </is>
      </c>
      <c r="G41" s="119" t="inlineStr">
        <is>
          <t>Room A1</t>
        </is>
      </c>
      <c r="H41" s="119" t="inlineStr">
        <is>
          <t>Leadership</t>
        </is>
      </c>
      <c r="I41" s="119" t="inlineStr">
        <is>
          <t>Leadership</t>
        </is>
      </c>
      <c r="J41" s="114" t="n">
        <v>38</v>
      </c>
      <c r="K41" s="114" t="n">
        <v>26</v>
      </c>
      <c r="S41" s="115">
        <f>IF(OR(G41="",B41="",C41=""),"",IF(SUMPRODUCT(('Room Management'!$A$4:$A$103="D"&amp;B41)*('Room Management'!$B$4:$B$103=C41)*(INDEX('Room Management'!$C$4:$M$103,0,MATCH(G41,'Room Management'!$C$2:$M$2,0))&lt;&gt;""))&gt;0,"OK","CONFLICT"))</f>
        <v/>
      </c>
    </row>
    <row r="42" ht="15" customHeight="1" s="107">
      <c r="A42" s="110" t="n">
        <v>41</v>
      </c>
      <c r="B42" s="110" t="n">
        <v>4</v>
      </c>
      <c r="C42" s="111" t="inlineStr">
        <is>
          <t>09:00</t>
        </is>
      </c>
      <c r="D42" s="111" t="inlineStr">
        <is>
          <t>10:30</t>
        </is>
      </c>
      <c r="E42" s="112" t="inlineStr">
        <is>
          <t>System Architecture</t>
        </is>
      </c>
      <c r="F42" s="113" t="inlineStr">
        <is>
          <t>David Kim</t>
        </is>
      </c>
      <c r="G42" s="113" t="inlineStr">
        <is>
          <t>Room B1</t>
        </is>
      </c>
      <c r="H42" s="113" t="inlineStr">
        <is>
          <t>Technical</t>
        </is>
      </c>
      <c r="I42" s="113" t="inlineStr">
        <is>
          <t>Technical</t>
        </is>
      </c>
      <c r="J42" s="114" t="n">
        <v>50</v>
      </c>
      <c r="K42" s="114" t="n">
        <v>35</v>
      </c>
      <c r="S42" s="115">
        <f>IF(OR(G42="",B42="",C42=""),"",IF(SUMPRODUCT(('Room Management'!$A$4:$A$103="D"&amp;B42)*('Room Management'!$B$4:$B$103=C42)*(INDEX('Room Management'!$C$4:$M$103,0,MATCH(G42,'Room Management'!$C$2:$M$2,0))&lt;&gt;""))&gt;0,"OK","CONFLICT"))</f>
        <v/>
      </c>
    </row>
    <row r="43" ht="15" customHeight="1" s="107">
      <c r="A43" s="116" t="n">
        <v>42</v>
      </c>
      <c r="B43" s="116" t="n">
        <v>4</v>
      </c>
      <c r="C43" s="117" t="inlineStr">
        <is>
          <t>09:00</t>
        </is>
      </c>
      <c r="D43" s="117" t="inlineStr">
        <is>
          <t>10:30</t>
        </is>
      </c>
      <c r="E43" s="118" t="inlineStr">
        <is>
          <t>Data Visualization</t>
        </is>
      </c>
      <c r="F43" s="119" t="inlineStr">
        <is>
          <t>Carlos Ruiz</t>
        </is>
      </c>
      <c r="G43" s="119" t="inlineStr">
        <is>
          <t>Room C1</t>
        </is>
      </c>
      <c r="H43" s="119" t="inlineStr">
        <is>
          <t>Design Thinking</t>
        </is>
      </c>
      <c r="I43" s="119" t="inlineStr">
        <is>
          <t>Design Thinking</t>
        </is>
      </c>
      <c r="J43" s="114" t="n">
        <v>36</v>
      </c>
      <c r="K43" s="114" t="n">
        <v>25</v>
      </c>
      <c r="S43" s="115">
        <f>IF(OR(G43="",B43="",C43=""),"",IF(SUMPRODUCT(('Room Management'!$A$4:$A$103="D"&amp;B43)*('Room Management'!$B$4:$B$103=C43)*(INDEX('Room Management'!$C$4:$M$103,0,MATCH(G43,'Room Management'!$C$2:$M$2,0))&lt;&gt;""))&gt;0,"OK","CONFLICT"))</f>
        <v/>
      </c>
    </row>
    <row r="44" ht="15" customHeight="1" s="107">
      <c r="A44" s="110" t="n">
        <v>43</v>
      </c>
      <c r="B44" s="110" t="n">
        <v>4</v>
      </c>
      <c r="C44" s="111" t="inlineStr">
        <is>
          <t>09:00</t>
        </is>
      </c>
      <c r="D44" s="111" t="inlineStr">
        <is>
          <t>10:30</t>
        </is>
      </c>
      <c r="E44" s="112" t="inlineStr">
        <is>
          <t>Change Management</t>
        </is>
      </c>
      <c r="F44" s="113" t="inlineStr">
        <is>
          <t>James Wright</t>
        </is>
      </c>
      <c r="G44" s="113" t="inlineStr">
        <is>
          <t>Room D1</t>
        </is>
      </c>
      <c r="H44" s="113" t="inlineStr">
        <is>
          <t>Operations</t>
        </is>
      </c>
      <c r="I44" s="113" t="inlineStr">
        <is>
          <t>Operations</t>
        </is>
      </c>
      <c r="J44" s="114" t="n">
        <v>32</v>
      </c>
      <c r="K44" s="114" t="n">
        <v>22</v>
      </c>
      <c r="S44" s="115">
        <f>IF(OR(G44="",B44="",C44=""),"",IF(SUMPRODUCT(('Room Management'!$A$4:$A$103="D"&amp;B44)*('Room Management'!$B$4:$B$103=C44)*(INDEX('Room Management'!$C$4:$M$103,0,MATCH(G44,'Room Management'!$C$2:$M$2,0))&lt;&gt;""))&gt;0,"OK","CONFLICT"))</f>
        <v/>
      </c>
    </row>
    <row r="45" ht="15" customHeight="1" s="107">
      <c r="A45" s="116" t="n">
        <v>44</v>
      </c>
      <c r="B45" s="116" t="n">
        <v>4</v>
      </c>
      <c r="C45" s="117" t="inlineStr">
        <is>
          <t>10:30</t>
        </is>
      </c>
      <c r="D45" s="117" t="inlineStr">
        <is>
          <t>11:00</t>
        </is>
      </c>
      <c r="E45" s="118" t="inlineStr">
        <is>
          <t>Morning Break</t>
        </is>
      </c>
      <c r="F45" s="119" t="n"/>
      <c r="G45" s="119" t="inlineStr">
        <is>
          <t>Atrium</t>
        </is>
      </c>
      <c r="H45" s="119" t="inlineStr">
        <is>
          <t>Break</t>
        </is>
      </c>
      <c r="I45" s="119" t="inlineStr">
        <is>
          <t>all</t>
        </is>
      </c>
      <c r="J45" s="114" t="n">
        <v>200</v>
      </c>
      <c r="K45" s="114" t="n">
        <v>200</v>
      </c>
      <c r="S45" s="115">
        <f>IF(OR(G45="",B45="",C45=""),"",IF(SUMPRODUCT(('Room Management'!$A$4:$A$103="D"&amp;B45)*('Room Management'!$B$4:$B$103=C45)*(INDEX('Room Management'!$C$4:$M$103,0,MATCH(G45,'Room Management'!$C$2:$M$2,0))&lt;&gt;""))&gt;0,"OK","CONFLICT"))</f>
        <v/>
      </c>
    </row>
    <row r="46" ht="15" customHeight="1" s="107">
      <c r="A46" s="110" t="n">
        <v>45</v>
      </c>
      <c r="B46" s="110" t="n">
        <v>4</v>
      </c>
      <c r="C46" s="111" t="inlineStr">
        <is>
          <t>11:00</t>
        </is>
      </c>
      <c r="D46" s="111" t="inlineStr">
        <is>
          <t>12:30</t>
        </is>
      </c>
      <c r="E46" s="112" t="inlineStr">
        <is>
          <t>Presentation Mastery</t>
        </is>
      </c>
      <c r="F46" s="113" t="inlineStr">
        <is>
          <t>Tom Bradley</t>
        </is>
      </c>
      <c r="G46" s="113" t="inlineStr">
        <is>
          <t>Room A1</t>
        </is>
      </c>
      <c r="H46" s="113" t="inlineStr">
        <is>
          <t>Leadership</t>
        </is>
      </c>
      <c r="I46" s="113" t="inlineStr">
        <is>
          <t>Leadership</t>
        </is>
      </c>
      <c r="J46" s="114" t="n">
        <v>42</v>
      </c>
      <c r="K46" s="114" t="n">
        <v>29</v>
      </c>
      <c r="S46" s="115">
        <f>IF(OR(G46="",B46="",C46=""),"",IF(SUMPRODUCT(('Room Management'!$A$4:$A$103="D"&amp;B46)*('Room Management'!$B$4:$B$103=C46)*(INDEX('Room Management'!$C$4:$M$103,0,MATCH(G46,'Room Management'!$C$2:$M$2,0))&lt;&gt;""))&gt;0,"OK","CONFLICT"))</f>
        <v/>
      </c>
    </row>
    <row r="47" ht="15" customHeight="1" s="107">
      <c r="A47" s="116" t="n">
        <v>46</v>
      </c>
      <c r="B47" s="116" t="n">
        <v>4</v>
      </c>
      <c r="C47" s="117" t="inlineStr">
        <is>
          <t>11:00</t>
        </is>
      </c>
      <c r="D47" s="117" t="inlineStr">
        <is>
          <t>12:30</t>
        </is>
      </c>
      <c r="E47" s="118" t="inlineStr">
        <is>
          <t>Testing Strategies</t>
        </is>
      </c>
      <c r="F47" s="119" t="inlineStr">
        <is>
          <t>Priya Sharma</t>
        </is>
      </c>
      <c r="G47" s="119" t="inlineStr">
        <is>
          <t>Room B1</t>
        </is>
      </c>
      <c r="H47" s="119" t="inlineStr">
        <is>
          <t>Technical</t>
        </is>
      </c>
      <c r="I47" s="119" t="inlineStr">
        <is>
          <t>Technical</t>
        </is>
      </c>
      <c r="J47" s="114" t="n">
        <v>46</v>
      </c>
      <c r="K47" s="114" t="n">
        <v>32</v>
      </c>
      <c r="S47" s="115">
        <f>IF(OR(G47="",B47="",C47=""),"",IF(SUMPRODUCT(('Room Management'!$A$4:$A$103="D"&amp;B47)*('Room Management'!$B$4:$B$103=C47)*(INDEX('Room Management'!$C$4:$M$103,0,MATCH(G47,'Room Management'!$C$2:$M$2,0))&lt;&gt;""))&gt;0,"OK","CONFLICT"))</f>
        <v/>
      </c>
    </row>
    <row r="48" ht="15" customHeight="1" s="107">
      <c r="A48" s="110" t="n">
        <v>47</v>
      </c>
      <c r="B48" s="110" t="n">
        <v>4</v>
      </c>
      <c r="C48" s="111" t="inlineStr">
        <is>
          <t>11:00</t>
        </is>
      </c>
      <c r="D48" s="111" t="inlineStr">
        <is>
          <t>12:30</t>
        </is>
      </c>
      <c r="E48" s="112" t="inlineStr">
        <is>
          <t>Design Critiques</t>
        </is>
      </c>
      <c r="F48" s="113" t="inlineStr">
        <is>
          <t>Yuki Tanaka</t>
        </is>
      </c>
      <c r="G48" s="113" t="inlineStr">
        <is>
          <t>Room C1</t>
        </is>
      </c>
      <c r="H48" s="113" t="inlineStr">
        <is>
          <t>Design Thinking</t>
        </is>
      </c>
      <c r="I48" s="113" t="inlineStr">
        <is>
          <t>Design Thinking</t>
        </is>
      </c>
      <c r="J48" s="114" t="n">
        <v>34</v>
      </c>
      <c r="K48" s="114" t="n">
        <v>23</v>
      </c>
      <c r="S48" s="115">
        <f>IF(OR(G48="",B48="",C48=""),"",IF(SUMPRODUCT(('Room Management'!$A$4:$A$103="D"&amp;B48)*('Room Management'!$B$4:$B$103=C48)*(INDEX('Room Management'!$C$4:$M$103,0,MATCH(G48,'Room Management'!$C$2:$M$2,0))&lt;&gt;""))&gt;0,"OK","CONFLICT"))</f>
        <v/>
      </c>
    </row>
    <row r="49" ht="15" customHeight="1" s="107">
      <c r="A49" s="116" t="n">
        <v>48</v>
      </c>
      <c r="B49" s="116" t="n">
        <v>4</v>
      </c>
      <c r="C49" s="117" t="inlineStr">
        <is>
          <t>11:00</t>
        </is>
      </c>
      <c r="D49" s="117" t="inlineStr">
        <is>
          <t>12:30</t>
        </is>
      </c>
      <c r="E49" s="118" t="inlineStr">
        <is>
          <t>Process Automation</t>
        </is>
      </c>
      <c r="F49" s="119" t="inlineStr">
        <is>
          <t>Nina Petrov</t>
        </is>
      </c>
      <c r="G49" s="119" t="inlineStr">
        <is>
          <t>Room D1</t>
        </is>
      </c>
      <c r="H49" s="119" t="inlineStr">
        <is>
          <t>Operations</t>
        </is>
      </c>
      <c r="I49" s="119" t="inlineStr">
        <is>
          <t>Operations</t>
        </is>
      </c>
      <c r="J49" s="114" t="n">
        <v>30</v>
      </c>
      <c r="K49" s="114" t="n">
        <v>21</v>
      </c>
      <c r="S49" s="115">
        <f>IF(OR(G49="",B49="",C49=""),"",IF(SUMPRODUCT(('Room Management'!$A$4:$A$103="D"&amp;B49)*('Room Management'!$B$4:$B$103=C49)*(INDEX('Room Management'!$C$4:$M$103,0,MATCH(G49,'Room Management'!$C$2:$M$2,0))&lt;&gt;""))&gt;0,"OK","CONFLICT"))</f>
        <v/>
      </c>
    </row>
    <row r="50" ht="15" customHeight="1" s="107">
      <c r="A50" s="110" t="n">
        <v>49</v>
      </c>
      <c r="B50" s="110" t="n">
        <v>4</v>
      </c>
      <c r="C50" s="111" t="inlineStr">
        <is>
          <t>12:30</t>
        </is>
      </c>
      <c r="D50" s="111" t="inlineStr">
        <is>
          <t>13:30</t>
        </is>
      </c>
      <c r="E50" s="112" t="inlineStr">
        <is>
          <t>Lunch &amp; Networking</t>
        </is>
      </c>
      <c r="F50" s="113" t="n"/>
      <c r="G50" s="113" t="inlineStr">
        <is>
          <t>Atrium</t>
        </is>
      </c>
      <c r="H50" s="113" t="inlineStr">
        <is>
          <t>Break</t>
        </is>
      </c>
      <c r="I50" s="113" t="inlineStr">
        <is>
          <t>all</t>
        </is>
      </c>
      <c r="J50" s="114" t="n">
        <v>200</v>
      </c>
      <c r="K50" s="114" t="n">
        <v>200</v>
      </c>
      <c r="S50" s="115">
        <f>IF(OR(G50="",B50="",C50=""),"",IF(SUMPRODUCT(('Room Management'!$A$4:$A$103="D"&amp;B50)*('Room Management'!$B$4:$B$103=C50)*(INDEX('Room Management'!$C$4:$M$103,0,MATCH(G50,'Room Management'!$C$2:$M$2,0))&lt;&gt;""))&gt;0,"OK","CONFLICT"))</f>
        <v/>
      </c>
    </row>
    <row r="51" ht="15" customHeight="1" s="107">
      <c r="A51" s="116" t="n">
        <v>50</v>
      </c>
      <c r="B51" s="116" t="n">
        <v>4</v>
      </c>
      <c r="C51" s="117" t="inlineStr">
        <is>
          <t>13:30</t>
        </is>
      </c>
      <c r="D51" s="117" t="inlineStr">
        <is>
          <t>15:00</t>
        </is>
      </c>
      <c r="E51" s="118" t="inlineStr">
        <is>
          <t>Succession Planning</t>
        </is>
      </c>
      <c r="F51" s="119" t="inlineStr">
        <is>
          <t>Aisha Johnson</t>
        </is>
      </c>
      <c r="G51" s="119" t="inlineStr">
        <is>
          <t>Room A1</t>
        </is>
      </c>
      <c r="H51" s="119" t="inlineStr">
        <is>
          <t>Leadership</t>
        </is>
      </c>
      <c r="I51" s="119" t="inlineStr">
        <is>
          <t>Leadership</t>
        </is>
      </c>
      <c r="J51" s="114" t="n">
        <v>38</v>
      </c>
      <c r="K51" s="114" t="n">
        <v>26</v>
      </c>
      <c r="S51" s="115">
        <f>IF(OR(G51="",B51="",C51=""),"",IF(SUMPRODUCT(('Room Management'!$A$4:$A$103="D"&amp;B51)*('Room Management'!$B$4:$B$103=C51)*(INDEX('Room Management'!$C$4:$M$103,0,MATCH(G51,'Room Management'!$C$2:$M$2,0))&lt;&gt;""))&gt;0,"OK","CONFLICT"))</f>
        <v/>
      </c>
    </row>
    <row r="52" ht="15" customHeight="1" s="107">
      <c r="A52" s="110" t="n">
        <v>51</v>
      </c>
      <c r="B52" s="110" t="n">
        <v>4</v>
      </c>
      <c r="C52" s="111" t="inlineStr">
        <is>
          <t>13:30</t>
        </is>
      </c>
      <c r="D52" s="111" t="inlineStr">
        <is>
          <t>15:00</t>
        </is>
      </c>
      <c r="E52" s="112" t="inlineStr">
        <is>
          <t>Code Review Culture</t>
        </is>
      </c>
      <c r="F52" s="113" t="inlineStr">
        <is>
          <t>Alex Novak</t>
        </is>
      </c>
      <c r="G52" s="113" t="inlineStr">
        <is>
          <t>Room B1</t>
        </is>
      </c>
      <c r="H52" s="113" t="inlineStr">
        <is>
          <t>Technical</t>
        </is>
      </c>
      <c r="I52" s="113" t="inlineStr">
        <is>
          <t>Technical</t>
        </is>
      </c>
      <c r="J52" s="114" t="n">
        <v>44</v>
      </c>
      <c r="K52" s="114" t="n">
        <v>30</v>
      </c>
      <c r="S52" s="115">
        <f>IF(OR(G52="",B52="",C52=""),"",IF(SUMPRODUCT(('Room Management'!$A$4:$A$103="D"&amp;B52)*('Room Management'!$B$4:$B$103=C52)*(INDEX('Room Management'!$C$4:$M$103,0,MATCH(G52,'Room Management'!$C$2:$M$2,0))&lt;&gt;""))&gt;0,"OK","CONFLICT"))</f>
        <v/>
      </c>
    </row>
    <row r="53" ht="15" customHeight="1" s="107">
      <c r="A53" s="116" t="n">
        <v>52</v>
      </c>
      <c r="B53" s="116" t="n">
        <v>4</v>
      </c>
      <c r="C53" s="117" t="inlineStr">
        <is>
          <t>13:30</t>
        </is>
      </c>
      <c r="D53" s="117" t="inlineStr">
        <is>
          <t>15:00</t>
        </is>
      </c>
      <c r="E53" s="118" t="inlineStr">
        <is>
          <t>Design Handoff</t>
        </is>
      </c>
      <c r="F53" s="119" t="inlineStr">
        <is>
          <t>Lena Müller</t>
        </is>
      </c>
      <c r="G53" s="119" t="inlineStr">
        <is>
          <t>Room C1</t>
        </is>
      </c>
      <c r="H53" s="119" t="inlineStr">
        <is>
          <t>Design Thinking</t>
        </is>
      </c>
      <c r="I53" s="119" t="inlineStr">
        <is>
          <t>Design Thinking</t>
        </is>
      </c>
      <c r="J53" s="114" t="n">
        <v>32</v>
      </c>
      <c r="K53" s="114" t="n">
        <v>22</v>
      </c>
      <c r="S53" s="115">
        <f>IF(OR(G53="",B53="",C53=""),"",IF(SUMPRODUCT(('Room Management'!$A$4:$A$103="D"&amp;B53)*('Room Management'!$B$4:$B$103=C53)*(INDEX('Room Management'!$C$4:$M$103,0,MATCH(G53,'Room Management'!$C$2:$M$2,0))&lt;&gt;""))&gt;0,"OK","CONFLICT"))</f>
        <v/>
      </c>
    </row>
    <row r="54" ht="15" customHeight="1" s="107">
      <c r="A54" s="110" t="n">
        <v>53</v>
      </c>
      <c r="B54" s="110" t="n">
        <v>4</v>
      </c>
      <c r="C54" s="111" t="inlineStr">
        <is>
          <t>13:30</t>
        </is>
      </c>
      <c r="D54" s="111" t="inlineStr">
        <is>
          <t>15:00</t>
        </is>
      </c>
      <c r="E54" s="112" t="inlineStr">
        <is>
          <t>KPI Dashboards</t>
        </is>
      </c>
      <c r="F54" s="113" t="inlineStr">
        <is>
          <t>Rachel Green</t>
        </is>
      </c>
      <c r="G54" s="113" t="inlineStr">
        <is>
          <t>Room D1</t>
        </is>
      </c>
      <c r="H54" s="113" t="inlineStr">
        <is>
          <t>Operations</t>
        </is>
      </c>
      <c r="I54" s="113" t="inlineStr">
        <is>
          <t>Operations</t>
        </is>
      </c>
      <c r="J54" s="114" t="n">
        <v>28</v>
      </c>
      <c r="K54" s="114" t="n">
        <v>19</v>
      </c>
      <c r="S54" s="115">
        <f>IF(OR(G54="",B54="",C54=""),"",IF(SUMPRODUCT(('Room Management'!$A$4:$A$103="D"&amp;B54)*('Room Management'!$B$4:$B$103=C54)*(INDEX('Room Management'!$C$4:$M$103,0,MATCH(G54,'Room Management'!$C$2:$M$2,0))&lt;&gt;""))&gt;0,"OK","CONFLICT"))</f>
        <v/>
      </c>
    </row>
    <row r="55" ht="15" customHeight="1" s="107">
      <c r="A55" s="116" t="n">
        <v>54</v>
      </c>
      <c r="B55" s="116" t="n">
        <v>4</v>
      </c>
      <c r="C55" s="117" t="inlineStr">
        <is>
          <t>15:00</t>
        </is>
      </c>
      <c r="D55" s="117" t="inlineStr">
        <is>
          <t>15:30</t>
        </is>
      </c>
      <c r="E55" s="118" t="inlineStr">
        <is>
          <t>Afternoon Break</t>
        </is>
      </c>
      <c r="F55" s="119" t="n"/>
      <c r="G55" s="119" t="inlineStr">
        <is>
          <t>Atrium</t>
        </is>
      </c>
      <c r="H55" s="119" t="inlineStr">
        <is>
          <t>Break</t>
        </is>
      </c>
      <c r="I55" s="119" t="inlineStr">
        <is>
          <t>all</t>
        </is>
      </c>
      <c r="J55" s="114" t="n">
        <v>200</v>
      </c>
      <c r="K55" s="114" t="n">
        <v>200</v>
      </c>
      <c r="S55" s="115">
        <f>IF(OR(G55="",B55="",C55=""),"",IF(SUMPRODUCT(('Room Management'!$A$4:$A$103="D"&amp;B55)*('Room Management'!$B$4:$B$103=C55)*(INDEX('Room Management'!$C$4:$M$103,0,MATCH(G55,'Room Management'!$C$2:$M$2,0))&lt;&gt;""))&gt;0,"OK","CONFLICT"))</f>
        <v/>
      </c>
    </row>
    <row r="56" ht="15" customHeight="1" s="107">
      <c r="A56" s="110" t="n">
        <v>55</v>
      </c>
      <c r="B56" s="110" t="n">
        <v>4</v>
      </c>
      <c r="C56" s="111" t="inlineStr">
        <is>
          <t>15:30</t>
        </is>
      </c>
      <c r="D56" s="111" t="inlineStr">
        <is>
          <t>17:00</t>
        </is>
      </c>
      <c r="E56" s="112" t="inlineStr">
        <is>
          <t>Hackathon Presentations</t>
        </is>
      </c>
      <c r="F56" s="113" t="inlineStr">
        <is>
          <t>Selected Teams</t>
        </is>
      </c>
      <c r="G56" s="113" t="inlineStr">
        <is>
          <t>Main Hall</t>
        </is>
      </c>
      <c r="H56" s="113" t="inlineStr">
        <is>
          <t>Keynote</t>
        </is>
      </c>
      <c r="I56" s="113" t="inlineStr">
        <is>
          <t>all</t>
        </is>
      </c>
      <c r="J56" s="114" t="n">
        <v>200</v>
      </c>
      <c r="K56" s="114" t="n">
        <v>140</v>
      </c>
      <c r="S56" s="115">
        <f>IF(OR(G56="",B56="",C56=""),"",IF(SUMPRODUCT(('Room Management'!$A$4:$A$103="D"&amp;B56)*('Room Management'!$B$4:$B$103=C56)*(INDEX('Room Management'!$C$4:$M$103,0,MATCH(G56,'Room Management'!$C$2:$M$2,0))&lt;&gt;""))&gt;0,"OK","CONFLICT"))</f>
        <v/>
      </c>
    </row>
    <row r="57" ht="15" customHeight="1" s="107">
      <c r="A57" s="116" t="n">
        <v>56</v>
      </c>
      <c r="B57" s="116" t="n">
        <v>5</v>
      </c>
      <c r="C57" s="117" t="inlineStr">
        <is>
          <t>09:00</t>
        </is>
      </c>
      <c r="D57" s="117" t="inlineStr">
        <is>
          <t>10:30</t>
        </is>
      </c>
      <c r="E57" s="118" t="inlineStr">
        <is>
          <t>Personal Action Plans</t>
        </is>
      </c>
      <c r="F57" s="119" t="inlineStr">
        <is>
          <t>Mark Torres</t>
        </is>
      </c>
      <c r="G57" s="119" t="inlineStr">
        <is>
          <t>Room A1</t>
        </is>
      </c>
      <c r="H57" s="119" t="inlineStr">
        <is>
          <t>Leadership</t>
        </is>
      </c>
      <c r="I57" s="119" t="inlineStr">
        <is>
          <t>Leadership</t>
        </is>
      </c>
      <c r="J57" s="114" t="n">
        <v>40</v>
      </c>
      <c r="K57" s="114" t="n">
        <v>28</v>
      </c>
      <c r="S57" s="115">
        <f>IF(OR(G57="",B57="",C57=""),"",IF(SUMPRODUCT(('Room Management'!$A$4:$A$103="D"&amp;B57)*('Room Management'!$B$4:$B$103=C57)*(INDEX('Room Management'!$C$4:$M$103,0,MATCH(G57,'Room Management'!$C$2:$M$2,0))&lt;&gt;""))&gt;0,"OK","CONFLICT"))</f>
        <v/>
      </c>
    </row>
    <row r="58" ht="15" customHeight="1" s="107">
      <c r="A58" s="110" t="n">
        <v>57</v>
      </c>
      <c r="B58" s="110" t="n">
        <v>5</v>
      </c>
      <c r="C58" s="111" t="inlineStr">
        <is>
          <t>09:00</t>
        </is>
      </c>
      <c r="D58" s="111" t="inlineStr">
        <is>
          <t>10:30</t>
        </is>
      </c>
      <c r="E58" s="112" t="inlineStr">
        <is>
          <t>Tech Roadmapping</t>
        </is>
      </c>
      <c r="F58" s="113" t="inlineStr">
        <is>
          <t>David Kim</t>
        </is>
      </c>
      <c r="G58" s="113" t="inlineStr">
        <is>
          <t>Room B1</t>
        </is>
      </c>
      <c r="H58" s="113" t="inlineStr">
        <is>
          <t>Technical</t>
        </is>
      </c>
      <c r="I58" s="113" t="inlineStr">
        <is>
          <t>Technical</t>
        </is>
      </c>
      <c r="J58" s="114" t="n">
        <v>46</v>
      </c>
      <c r="K58" s="114" t="n">
        <v>32</v>
      </c>
      <c r="S58" s="115">
        <f>IF(OR(G58="",B58="",C58=""),"",IF(SUMPRODUCT(('Room Management'!$A$4:$A$103="D"&amp;B58)*('Room Management'!$B$4:$B$103=C58)*(INDEX('Room Management'!$C$4:$M$103,0,MATCH(G58,'Room Management'!$C$2:$M$2,0))&lt;&gt;""))&gt;0,"OK","CONFLICT"))</f>
        <v/>
      </c>
    </row>
    <row r="59" ht="15" customHeight="1" s="107">
      <c r="A59" s="116" t="n">
        <v>58</v>
      </c>
      <c r="B59" s="116" t="n">
        <v>5</v>
      </c>
      <c r="C59" s="117" t="inlineStr">
        <is>
          <t>09:00</t>
        </is>
      </c>
      <c r="D59" s="117" t="inlineStr">
        <is>
          <t>10:30</t>
        </is>
      </c>
      <c r="E59" s="118" t="inlineStr">
        <is>
          <t>Portfolio Building</t>
        </is>
      </c>
      <c r="F59" s="119" t="inlineStr">
        <is>
          <t>Carlos Ruiz</t>
        </is>
      </c>
      <c r="G59" s="119" t="inlineStr">
        <is>
          <t>Room C1</t>
        </is>
      </c>
      <c r="H59" s="119" t="inlineStr">
        <is>
          <t>Design Thinking</t>
        </is>
      </c>
      <c r="I59" s="119" t="inlineStr">
        <is>
          <t>Design Thinking</t>
        </is>
      </c>
      <c r="J59" s="114" t="n">
        <v>34</v>
      </c>
      <c r="K59" s="114" t="n">
        <v>23</v>
      </c>
      <c r="S59" s="115">
        <f>IF(OR(G59="",B59="",C59=""),"",IF(SUMPRODUCT(('Room Management'!$A$4:$A$103="D"&amp;B59)*('Room Management'!$B$4:$B$103=C59)*(INDEX('Room Management'!$C$4:$M$103,0,MATCH(G59,'Room Management'!$C$2:$M$2,0))&lt;&gt;""))&gt;0,"OK","CONFLICT"))</f>
        <v/>
      </c>
    </row>
    <row r="60" ht="15" customHeight="1" s="107">
      <c r="A60" s="110" t="n">
        <v>59</v>
      </c>
      <c r="B60" s="110" t="n">
        <v>5</v>
      </c>
      <c r="C60" s="111" t="inlineStr">
        <is>
          <t>09:00</t>
        </is>
      </c>
      <c r="D60" s="111" t="inlineStr">
        <is>
          <t>10:30</t>
        </is>
      </c>
      <c r="E60" s="112" t="inlineStr">
        <is>
          <t>Continuous Improvement</t>
        </is>
      </c>
      <c r="F60" s="113" t="inlineStr">
        <is>
          <t>James Wright</t>
        </is>
      </c>
      <c r="G60" s="113" t="inlineStr">
        <is>
          <t>Room D1</t>
        </is>
      </c>
      <c r="H60" s="113" t="inlineStr">
        <is>
          <t>Operations</t>
        </is>
      </c>
      <c r="I60" s="113" t="inlineStr">
        <is>
          <t>Operations</t>
        </is>
      </c>
      <c r="J60" s="114" t="n">
        <v>30</v>
      </c>
      <c r="K60" s="114" t="n">
        <v>21</v>
      </c>
      <c r="S60" s="115">
        <f>IF(OR(G60="",B60="",C60=""),"",IF(SUMPRODUCT(('Room Management'!$A$4:$A$103="D"&amp;B60)*('Room Management'!$B$4:$B$103=C60)*(INDEX('Room Management'!$C$4:$M$103,0,MATCH(G60,'Room Management'!$C$2:$M$2,0))&lt;&gt;""))&gt;0,"OK","CONFLICT"))</f>
        <v/>
      </c>
    </row>
    <row r="61" ht="15" customHeight="1" s="107">
      <c r="A61" s="116" t="n">
        <v>60</v>
      </c>
      <c r="B61" s="116" t="n">
        <v>5</v>
      </c>
      <c r="C61" s="117" t="inlineStr">
        <is>
          <t>10:30</t>
        </is>
      </c>
      <c r="D61" s="117" t="inlineStr">
        <is>
          <t>11:00</t>
        </is>
      </c>
      <c r="E61" s="118" t="inlineStr">
        <is>
          <t>Morning Break</t>
        </is>
      </c>
      <c r="F61" s="119" t="n"/>
      <c r="G61" s="119" t="inlineStr">
        <is>
          <t>Atrium</t>
        </is>
      </c>
      <c r="H61" s="119" t="inlineStr">
        <is>
          <t>Break</t>
        </is>
      </c>
      <c r="I61" s="119" t="inlineStr">
        <is>
          <t>all</t>
        </is>
      </c>
      <c r="J61" s="114" t="n">
        <v>200</v>
      </c>
      <c r="K61" s="114" t="n">
        <v>200</v>
      </c>
      <c r="S61" s="115">
        <f>IF(OR(G61="",B61="",C61=""),"",IF(SUMPRODUCT(('Room Management'!$A$4:$A$103="D"&amp;B61)*('Room Management'!$B$4:$B$103=C61)*(INDEX('Room Management'!$C$4:$M$103,0,MATCH(G61,'Room Management'!$C$2:$M$2,0))&lt;&gt;""))&gt;0,"OK","CONFLICT"))</f>
        <v/>
      </c>
    </row>
    <row r="62" ht="15" customHeight="1" s="107">
      <c r="A62" s="110" t="n">
        <v>61</v>
      </c>
      <c r="B62" s="110" t="n">
        <v>5</v>
      </c>
      <c r="C62" s="111" t="inlineStr">
        <is>
          <t>11:00</t>
        </is>
      </c>
      <c r="D62" s="111" t="inlineStr">
        <is>
          <t>12:00</t>
        </is>
      </c>
      <c r="E62" s="112" t="inlineStr">
        <is>
          <t>Track Showcases</t>
        </is>
      </c>
      <c r="F62" s="113" t="inlineStr">
        <is>
          <t>Track Leads</t>
        </is>
      </c>
      <c r="G62" s="113" t="inlineStr">
        <is>
          <t>Main Hall</t>
        </is>
      </c>
      <c r="H62" s="113" t="inlineStr">
        <is>
          <t>Keynote</t>
        </is>
      </c>
      <c r="I62" s="113" t="inlineStr">
        <is>
          <t>all</t>
        </is>
      </c>
      <c r="J62" s="114" t="n">
        <v>180</v>
      </c>
      <c r="K62" s="114" t="n">
        <v>125</v>
      </c>
      <c r="S62" s="115">
        <f>IF(OR(G62="",B62="",C62=""),"",IF(SUMPRODUCT(('Room Management'!$A$4:$A$103="D"&amp;B62)*('Room Management'!$B$4:$B$103=C62)*(INDEX('Room Management'!$C$4:$M$103,0,MATCH(G62,'Room Management'!$C$2:$M$2,0))&lt;&gt;""))&gt;0,"OK","CONFLICT"))</f>
        <v/>
      </c>
    </row>
    <row r="63" ht="15" customHeight="1" s="107">
      <c r="A63" s="116" t="n">
        <v>62</v>
      </c>
      <c r="B63" s="116" t="n">
        <v>5</v>
      </c>
      <c r="C63" s="117" t="inlineStr">
        <is>
          <t>12:00</t>
        </is>
      </c>
      <c r="D63" s="117" t="inlineStr">
        <is>
          <t>13:00</t>
        </is>
      </c>
      <c r="E63" s="118" t="inlineStr">
        <is>
          <t>Farewell Lunch</t>
        </is>
      </c>
      <c r="F63" s="119" t="n"/>
      <c r="G63" s="119" t="inlineStr">
        <is>
          <t>Atrium</t>
        </is>
      </c>
      <c r="H63" s="119" t="inlineStr">
        <is>
          <t>Break</t>
        </is>
      </c>
      <c r="I63" s="119" t="inlineStr">
        <is>
          <t>all</t>
        </is>
      </c>
      <c r="J63" s="114" t="n">
        <v>200</v>
      </c>
      <c r="K63" s="114" t="n">
        <v>200</v>
      </c>
      <c r="S63" s="115">
        <f>IF(OR(G63="",B63="",C63=""),"",IF(SUMPRODUCT(('Room Management'!$A$4:$A$103="D"&amp;B63)*('Room Management'!$B$4:$B$103=C63)*(INDEX('Room Management'!$C$4:$M$103,0,MATCH(G63,'Room Management'!$C$2:$M$2,0))&lt;&gt;""))&gt;0,"OK","CONFLICT"))</f>
        <v/>
      </c>
    </row>
    <row r="64" ht="15" customHeight="1" s="107">
      <c r="A64" s="110" t="n">
        <v>63</v>
      </c>
      <c r="B64" s="110" t="n">
        <v>5</v>
      </c>
      <c r="C64" s="111" t="inlineStr">
        <is>
          <t>13:00</t>
        </is>
      </c>
      <c r="D64" s="111" t="inlineStr">
        <is>
          <t>14:00</t>
        </is>
      </c>
      <c r="E64" s="112" t="inlineStr">
        <is>
          <t>Closing Keynote &amp; Awards</t>
        </is>
      </c>
      <c r="F64" s="113" t="inlineStr">
        <is>
          <t>Dr. Sarah Chen</t>
        </is>
      </c>
      <c r="G64" s="113" t="inlineStr">
        <is>
          <t>Main Hall</t>
        </is>
      </c>
      <c r="H64" s="113" t="inlineStr">
        <is>
          <t>Keynote</t>
        </is>
      </c>
      <c r="I64" s="113" t="inlineStr">
        <is>
          <t>all</t>
        </is>
      </c>
      <c r="J64" s="114" t="n">
        <v>200</v>
      </c>
      <c r="K64" s="114" t="n">
        <v>140</v>
      </c>
      <c r="S64" s="115">
        <f>IF(OR(G64="",B64="",C64=""),"",IF(SUMPRODUCT(('Room Management'!$A$4:$A$103="D"&amp;B64)*('Room Management'!$B$4:$B$103=C64)*(INDEX('Room Management'!$C$4:$M$103,0,MATCH(G64,'Room Management'!$C$2:$M$2,0))&lt;&gt;""))&gt;0,"OK","CONFLICT"))</f>
        <v/>
      </c>
    </row>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sheetData>
  <autoFilter ref="A1:K64"/>
  <conditionalFormatting sqref="S2:S500">
    <cfRule type="cellIs" rank="0" priority="2" equalAverage="0" operator="equal" aboveAverage="0" dxfId="8" text="" percent="0" bottom="0">
      <formula>"CONFLICT"</formula>
    </cfRule>
    <cfRule type="cellIs" rank="0" priority="3" equalAverage="0" operator="equal" aboveAverage="0" dxfId="9" text="" percent="0" bottom="0">
      <formula>"OK"</formula>
    </cfRule>
    <cfRule type="cellIs" priority="4" operator="equal" dxfId="26">
      <formula>"CONFLICT"</formula>
    </cfRule>
    <cfRule type="cellIs" priority="5" operator="equal" dxfId="27">
      <formula>"OK"</formula>
    </cfRule>
  </conditionalFormatting>
  <conditionalFormatting sqref="G2:G500">
    <cfRule type="expression" rank="0" priority="4" equalAverage="0" aboveAverage="0" dxfId="8" text="" percent="0" bottom="0">
      <formula>S2="CONFLICT"</formula>
    </cfRule>
    <cfRule type="expression" priority="6" dxfId="26">
      <formula>S2="CONFLICT"</formula>
    </cfRule>
  </conditionalFormatting>
  <dataValidations count="2">
    <dataValidation sqref="G2 G3 G4 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G105 G106 G107 G108 G109 G110 G111 G112 G113 G114 G115 G116 G117 G118 G119 G120 G121 G122 G123 G124 G125 G126 G127 G128 G129 G130 G131 G132 G133 G134 G135 G136 G137 G138 G139 G140 G141 G142 G143 G144 G145 G146 G147 G148 G149 G150 G151 G152 G153 G154 G155 G156 G157 G158 G159 G160 G161 G162 G163 G164 G165 G166 G167 G168 G169 G170 G171 G172 G173 G174 G175 G176 G177 G178 G179 G180 G181 G182 G183 G184 G185 G186 G187 G188 G189 G190 G191 G192 G193 G194 G195 G196 G197 G198 G199 G200 G201 G202 G203 G204 G205 G206 G207 G208 G209 G210 G211 G212 G213 G214 G215 G216 G217 G218 G219 G220 G221 G222 G223 G224 G225 G226 G227 G228 G229 G230 G231 G232 G233 G234 G235 G236 G237 G238 G239 G240 G241 G242 G243 G244 G245 G246 G247 G248 G249 G250 G251 G252 G253 G254 G255 G256 G257 G258 G259 G260 G261 G262 G263 G264 G265 G266 G267 G268 G269 G270 G271 G272 G273 G274 G275 G276 G277 G278 G279 G280 G281 G282 G283 G284 G285 G286 G287 G288 G289 G290 G291 G292 G293 G294 G295 G296 G297 G298 G299 G300 G301 G302 G303 G304 G305 G306 G307 G308 G309 G310 G311 G312 G313 G314 G315 G316 G317 G318 G319 G320 G321 G322 G323 G324 G325 G326 G327 G328 G329 G330 G331 G332 G333 G334 G335 G336 G337 G338 G339 G340 G341 G342 G343 G344 G345 G346 G347 G348 G349 G350 G351 G352 G353 G354 G355 G356 G357 G358 G359 G360 G361 G362 G363 G364 G365 G366 G367 G368 G369 G370 G371 G372 G373 G374 G375 G376 G377 G378 G379 G380 G381 G382 G383 G384 G385 G386 G387 G388 G389 G390 G391 G392 G393 G394 G395 G396 G397 G398 G399 G400 G401 G402 G403 G404 G405 G406 G407 G408 G409 G410 G411 G412 G413 G414 G415 G416 G417 G418 G419 G420 G421 G422 G423 G424 G425 G426 G427 G428 G429 G430 G431 G432 G433 G434 G435 G436 G437 G438 G439 G440 G441 G442 G443 G444 G445 G446 G447 G448 G449 G450 G451 G452 G453 G454 G455 G456 G457 G458 G459 G460 G461 G462 G463 G464 G465 G466 G467 G468 G469 G470 G471 G472 G473 G474 G475 G476 G477 G478 G479 G480 G481 G482 G483 G484 G485 G486 G487 G488 G489 G490 G491 G492 G493 G494 G495 G496 G497 G498 G499 G500" showDropDown="0" showInputMessage="0" showErrorMessage="1" allowBlank="1" errorTitle="Invalid Room" error="Select a room from Room Management." type="list">
      <formula1>='Room Management'!$Z$2:$Z$12</formula1>
    </dataValidation>
    <dataValidation sqref="G2 G3 G4 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G105 G106 G107 G108 G109 G110 G111 G112 G113 G114 G115 G116 G117 G118 G119 G120 G121 G122 G123 G124 G125 G126 G127 G128 G129 G130 G131 G132 G133 G134 G135 G136 G137 G138 G139 G140 G141 G142 G143 G144 G145 G146 G147 G148 G149 G150 G151 G152 G153 G154 G155 G156 G157 G158 G159 G160 G161 G162 G163 G164 G165 G166 G167 G168 G169 G170 G171 G172 G173 G174 G175 G176 G177 G178 G179 G180 G181 G182 G183 G184 G185 G186 G187 G188 G189 G190 G191 G192 G193 G194 G195 G196 G197 G198 G199 G200 G201 G202 G203 G204 G205 G206 G207 G208 G209 G210 G211 G212 G213 G214 G215 G216 G217 G218 G219 G220 G221 G222 G223 G224 G225 G226 G227 G228 G229 G230 G231 G232 G233 G234 G235 G236 G237 G238 G239 G240 G241 G242 G243 G244 G245 G246 G247 G248 G249 G250 G251 G252 G253 G254 G255 G256 G257 G258 G259 G260 G261 G262 G263 G264 G265 G266 G267 G268 G269 G270 G271 G272 G273 G274 G275 G276 G277 G278 G279 G280 G281 G282 G283 G284 G285 G286 G287 G288 G289 G290 G291 G292 G293 G294 G295 G296 G297 G298 G299 G300 G301 G302 G303 G304 G305 G306 G307 G308 G309 G310 G311 G312 G313 G314 G315 G316 G317 G318 G319 G320 G321 G322 G323 G324 G325 G326 G327 G328 G329 G330 G331 G332 G333 G334 G335 G336 G337 G338 G339 G340 G341 G342 G343 G344 G345 G346 G347 G348 G349 G350 G351 G352 G353 G354 G355 G356 G357 G358 G359 G360 G361 G362 G363 G364 G365 G366 G367 G368 G369 G370 G371 G372 G373 G374 G375 G376 G377 G378 G379 G380 G381 G382 G383 G384 G385 G386 G387 G388 G389 G390 G391 G392 G393 G394 G395 G396 G397 G398 G399 G400 G401 G402 G403 G404 G405 G406 G407 G408 G409 G410 G411 G412 G413 G414 G415 G416 G417 G418 G419 G420 G421 G422 G423 G424 G425 G426 G427 G428 G429 G430 G431 G432 G433 G434 G435 G436 G437 G438 G439 G440 G441 G442 G443 G444 G445 G446 G447 G448 G449 G450 G451 G452 G453 G454 G455 G456 G457 G458 G459 G460 G461 G462 G463 G464 G465 G466 G467 G468 G469 G470 G471 G472 G473 G474 G475 G476 G477 G478 G479 G480 G481 G482 G483 G484 G485 G486 G487 G488 G489 G490 G491 G492 G493 G494 G495 G496 G497 G498 G499 G500" showDropDown="0" showInputMessage="0" showErrorMessage="1" allowBlank="1" errorTitle="Invalid Room" error="Select a room from RoomDB." type="list">
      <formula1>=RoomDB!$Z$2:$Z$12</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tabColor rgb="FF2563EB"/>
    <outlinePr summaryBelow="1" summaryRight="1"/>
    <pageSetUpPr fitToPage="0"/>
  </sheetPr>
  <dimension ref="A1:P21"/>
  <sheetViews>
    <sheetView showFormulas="0" showGridLines="1" showRowColHeaders="1" showZeros="1" rightToLeft="0" tabSelected="0"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zeroHeight="0" outlineLevelRow="0"/>
  <cols>
    <col width="8" customWidth="1" style="106" min="1" max="1"/>
    <col width="22" customWidth="1" style="106" min="2" max="2"/>
    <col width="28" customWidth="1" style="106" min="3" max="3"/>
    <col width="20" customWidth="1" style="106" min="4" max="4"/>
    <col width="18" customWidth="1" style="106" min="5" max="5"/>
    <col width="14" customWidth="1" style="106" min="6" max="6"/>
    <col width="10" customWidth="1" style="106" min="7" max="7"/>
    <col width="20" customWidth="1" style="106" min="8" max="8"/>
    <col width="9" customWidth="1" style="106" min="9" max="13"/>
    <col width="20" customWidth="1" style="106" min="14" max="14"/>
    <col width="16" customWidth="1" style="106" min="15" max="15"/>
    <col width="20" customWidth="1" style="106" min="16" max="16"/>
  </cols>
  <sheetData>
    <row r="1" ht="30" customHeight="1" s="107">
      <c r="A1" s="120" t="inlineStr">
        <is>
          <t>ID</t>
        </is>
      </c>
      <c r="B1" s="120" t="inlineStr">
        <is>
          <t>Username</t>
        </is>
      </c>
      <c r="C1" s="120" t="inlineStr">
        <is>
          <t>Email</t>
        </is>
      </c>
      <c r="D1" s="120" t="inlineStr">
        <is>
          <t>Department</t>
        </is>
      </c>
      <c r="E1" s="120" t="inlineStr">
        <is>
          <t>Job Title</t>
        </is>
      </c>
      <c r="F1" s="120" t="inlineStr">
        <is>
          <t>Primary
Track</t>
        </is>
      </c>
      <c r="G1" s="120" t="inlineStr">
        <is>
          <t>Non-Local</t>
        </is>
      </c>
      <c r="H1" s="120" t="inlineStr">
        <is>
          <t>Hotel</t>
        </is>
      </c>
      <c r="I1" s="120" t="inlineStr">
        <is>
          <t>Day 1</t>
        </is>
      </c>
      <c r="J1" s="120" t="inlineStr">
        <is>
          <t>Day 2</t>
        </is>
      </c>
      <c r="K1" s="120" t="inlineStr">
        <is>
          <t>Day 3</t>
        </is>
      </c>
      <c r="L1" s="120" t="inlineStr">
        <is>
          <t>Day 4</t>
        </is>
      </c>
      <c r="M1" s="120" t="inlineStr">
        <is>
          <t>Day 5</t>
        </is>
      </c>
      <c r="N1" s="120" t="inlineStr">
        <is>
          <t>Emergency
Contact</t>
        </is>
      </c>
      <c r="O1" s="120" t="inlineStr">
        <is>
          <t>Emergency
Phone</t>
        </is>
      </c>
      <c r="P1" s="120" t="inlineStr">
        <is>
          <t>Notes</t>
        </is>
      </c>
    </row>
    <row r="2" ht="15" customHeight="1" s="107">
      <c r="A2" s="110" t="inlineStr">
        <is>
          <t>P001</t>
        </is>
      </c>
      <c r="B2" s="113" t="inlineStr">
        <is>
          <t>alice.martinez</t>
        </is>
      </c>
      <c r="C2" s="113" t="inlineStr">
        <is>
          <t>alice.martinez@acme.com</t>
        </is>
      </c>
      <c r="D2" s="113" t="inlineStr">
        <is>
          <t>Product</t>
        </is>
      </c>
      <c r="E2" s="113" t="inlineStr">
        <is>
          <t>Product Manager</t>
        </is>
      </c>
      <c r="F2" s="121" t="inlineStr">
        <is>
          <t>Leadership</t>
        </is>
      </c>
      <c r="G2" s="122" t="inlineStr">
        <is>
          <t>Local</t>
        </is>
      </c>
      <c r="H2" s="113" t="n"/>
      <c r="I2" s="110" t="inlineStr">
        <is>
          <t>Yes</t>
        </is>
      </c>
      <c r="J2" s="110" t="inlineStr">
        <is>
          <t>Yes</t>
        </is>
      </c>
      <c r="K2" s="110" t="inlineStr">
        <is>
          <t>Yes</t>
        </is>
      </c>
      <c r="L2" s="110" t="inlineStr">
        <is>
          <t>Yes</t>
        </is>
      </c>
      <c r="M2" s="110" t="inlineStr">
        <is>
          <t>Yes</t>
        </is>
      </c>
      <c r="N2" s="112" t="inlineStr">
        <is>
          <t>John Martinez</t>
        </is>
      </c>
      <c r="O2" s="112" t="inlineStr">
        <is>
          <t>+1-555-0101</t>
        </is>
      </c>
      <c r="P2" s="112" t="n"/>
    </row>
    <row r="3" ht="15" customHeight="1" s="107">
      <c r="A3" s="116" t="inlineStr">
        <is>
          <t>P002</t>
        </is>
      </c>
      <c r="B3" s="119" t="inlineStr">
        <is>
          <t>ben.okafor</t>
        </is>
      </c>
      <c r="C3" s="119" t="inlineStr">
        <is>
          <t>ben.okafor@techstart.io</t>
        </is>
      </c>
      <c r="D3" s="119" t="inlineStr">
        <is>
          <t>Engineering</t>
        </is>
      </c>
      <c r="E3" s="119" t="inlineStr">
        <is>
          <t>Senior Developer</t>
        </is>
      </c>
      <c r="F3" s="123" t="inlineStr">
        <is>
          <t>Technical</t>
        </is>
      </c>
      <c r="G3" s="124" t="inlineStr">
        <is>
          <t>Non-Local</t>
        </is>
      </c>
      <c r="H3" s="125" t="inlineStr">
        <is>
          <t>Hilton Downtown</t>
        </is>
      </c>
      <c r="I3" s="116" t="inlineStr">
        <is>
          <t>Yes</t>
        </is>
      </c>
      <c r="J3" s="116" t="inlineStr">
        <is>
          <t>Yes</t>
        </is>
      </c>
      <c r="K3" s="116" t="inlineStr">
        <is>
          <t>Yes</t>
        </is>
      </c>
      <c r="L3" s="116" t="inlineStr">
        <is>
          <t>Yes</t>
        </is>
      </c>
      <c r="M3" s="116" t="inlineStr">
        <is>
          <t>No</t>
        </is>
      </c>
      <c r="N3" s="118" t="inlineStr">
        <is>
          <t>Mary Okafor</t>
        </is>
      </c>
      <c r="O3" s="118" t="inlineStr">
        <is>
          <t>+1-555-0102</t>
        </is>
      </c>
      <c r="P3" s="118" t="n"/>
    </row>
    <row r="4" ht="15" customHeight="1" s="107">
      <c r="A4" s="110" t="inlineStr">
        <is>
          <t>P003</t>
        </is>
      </c>
      <c r="B4" s="113" t="inlineStr">
        <is>
          <t>clara.johansson</t>
        </is>
      </c>
      <c r="C4" s="113" t="inlineStr">
        <is>
          <t>clara.j@nordicdesign.se</t>
        </is>
      </c>
      <c r="D4" s="113" t="inlineStr">
        <is>
          <t>Design</t>
        </is>
      </c>
      <c r="E4" s="113" t="inlineStr">
        <is>
          <t>UX Lead</t>
        </is>
      </c>
      <c r="F4" s="126" t="inlineStr">
        <is>
          <t>Design Thinking</t>
        </is>
      </c>
      <c r="G4" s="124" t="inlineStr">
        <is>
          <t>Non-Local</t>
        </is>
      </c>
      <c r="H4" s="127" t="inlineStr">
        <is>
          <t>Marriott Convention</t>
        </is>
      </c>
      <c r="I4" s="110" t="inlineStr">
        <is>
          <t>Yes</t>
        </is>
      </c>
      <c r="J4" s="110" t="inlineStr">
        <is>
          <t>Yes</t>
        </is>
      </c>
      <c r="K4" s="110" t="inlineStr">
        <is>
          <t>Yes</t>
        </is>
      </c>
      <c r="L4" s="110" t="inlineStr">
        <is>
          <t>Yes</t>
        </is>
      </c>
      <c r="M4" s="110" t="inlineStr">
        <is>
          <t>Yes</t>
        </is>
      </c>
      <c r="N4" s="112" t="inlineStr">
        <is>
          <t>Erik Johansson</t>
        </is>
      </c>
      <c r="O4" s="112" t="inlineStr">
        <is>
          <t>+46-70-555-0103</t>
        </is>
      </c>
      <c r="P4" s="112" t="n"/>
    </row>
    <row r="5" ht="15" customHeight="1" s="107">
      <c r="A5" s="116" t="inlineStr">
        <is>
          <t>P004</t>
        </is>
      </c>
      <c r="B5" s="119" t="inlineStr">
        <is>
          <t>daniel.park</t>
        </is>
      </c>
      <c r="C5" s="119" t="inlineStr">
        <is>
          <t>d.park@globalops.com</t>
        </is>
      </c>
      <c r="D5" s="119" t="inlineStr">
        <is>
          <t>Operations</t>
        </is>
      </c>
      <c r="E5" s="119" t="inlineStr">
        <is>
          <t>Ops Director</t>
        </is>
      </c>
      <c r="F5" s="128" t="inlineStr">
        <is>
          <t>Operations</t>
        </is>
      </c>
      <c r="G5" s="122" t="inlineStr">
        <is>
          <t>Local</t>
        </is>
      </c>
      <c r="H5" s="119" t="n"/>
      <c r="I5" s="116" t="inlineStr">
        <is>
          <t>Yes</t>
        </is>
      </c>
      <c r="J5" s="116" t="inlineStr">
        <is>
          <t>No</t>
        </is>
      </c>
      <c r="K5" s="116" t="inlineStr">
        <is>
          <t>Yes</t>
        </is>
      </c>
      <c r="L5" s="116" t="inlineStr">
        <is>
          <t>Yes</t>
        </is>
      </c>
      <c r="M5" s="116" t="inlineStr">
        <is>
          <t>Yes</t>
        </is>
      </c>
      <c r="N5" s="118" t="inlineStr">
        <is>
          <t>Soo-Min Park</t>
        </is>
      </c>
      <c r="O5" s="118" t="inlineStr">
        <is>
          <t>+1-555-0104</t>
        </is>
      </c>
      <c r="P5" s="118" t="n"/>
    </row>
    <row r="6" ht="15" customHeight="1" s="107">
      <c r="A6" s="110" t="inlineStr">
        <is>
          <t>P005</t>
        </is>
      </c>
      <c r="B6" s="113" t="inlineStr">
        <is>
          <t>elena.rossi</t>
        </is>
      </c>
      <c r="C6" s="113" t="inlineStr">
        <is>
          <t>e.rossi@finserv.it</t>
        </is>
      </c>
      <c r="D6" s="113" t="inlineStr">
        <is>
          <t>Strategy</t>
        </is>
      </c>
      <c r="E6" s="113" t="inlineStr">
        <is>
          <t>Team Lead</t>
        </is>
      </c>
      <c r="F6" s="121" t="inlineStr">
        <is>
          <t>Leadership</t>
        </is>
      </c>
      <c r="G6" s="124" t="inlineStr">
        <is>
          <t>Non-Local</t>
        </is>
      </c>
      <c r="H6" s="127" t="inlineStr">
        <is>
          <t>Hyatt Regency</t>
        </is>
      </c>
      <c r="I6" s="110" t="inlineStr">
        <is>
          <t>Yes</t>
        </is>
      </c>
      <c r="J6" s="110" t="inlineStr">
        <is>
          <t>Yes</t>
        </is>
      </c>
      <c r="K6" s="110" t="inlineStr">
        <is>
          <t>No</t>
        </is>
      </c>
      <c r="L6" s="110" t="inlineStr">
        <is>
          <t>Yes</t>
        </is>
      </c>
      <c r="M6" s="110" t="inlineStr">
        <is>
          <t>Yes</t>
        </is>
      </c>
      <c r="N6" s="112" t="inlineStr">
        <is>
          <t>Marco Rossi</t>
        </is>
      </c>
      <c r="O6" s="112" t="inlineStr">
        <is>
          <t>+39-555-0105</t>
        </is>
      </c>
      <c r="P6" s="112" t="n"/>
    </row>
    <row r="7" ht="15" customHeight="1" s="107">
      <c r="A7" s="116" t="inlineStr">
        <is>
          <t>P006</t>
        </is>
      </c>
      <c r="B7" s="119" t="inlineStr">
        <is>
          <t>fatima.alhassan</t>
        </is>
      </c>
      <c r="C7" s="119" t="inlineStr">
        <is>
          <t>f.alhassan@govtech.ae</t>
        </is>
      </c>
      <c r="D7" s="119" t="inlineStr">
        <is>
          <t>Engineering</t>
        </is>
      </c>
      <c r="E7" s="119" t="inlineStr">
        <is>
          <t>Systems Architect</t>
        </is>
      </c>
      <c r="F7" s="123" t="inlineStr">
        <is>
          <t>Technical</t>
        </is>
      </c>
      <c r="G7" s="124" t="inlineStr">
        <is>
          <t>Non-Local</t>
        </is>
      </c>
      <c r="H7" s="125" t="inlineStr">
        <is>
          <t>Hilton Downtown</t>
        </is>
      </c>
      <c r="I7" s="116" t="inlineStr">
        <is>
          <t>Yes</t>
        </is>
      </c>
      <c r="J7" s="116" t="inlineStr">
        <is>
          <t>Yes</t>
        </is>
      </c>
      <c r="K7" s="116" t="inlineStr">
        <is>
          <t>Yes</t>
        </is>
      </c>
      <c r="L7" s="116" t="inlineStr">
        <is>
          <t>Yes</t>
        </is>
      </c>
      <c r="M7" s="116" t="inlineStr">
        <is>
          <t>Yes</t>
        </is>
      </c>
      <c r="N7" s="118" t="inlineStr">
        <is>
          <t>Ahmed Al-Hassan</t>
        </is>
      </c>
      <c r="O7" s="118" t="inlineStr">
        <is>
          <t>+971-55-0106</t>
        </is>
      </c>
      <c r="P7" s="118" t="n"/>
    </row>
    <row r="8" ht="15" customHeight="1" s="107">
      <c r="A8" s="110" t="inlineStr">
        <is>
          <t>P007</t>
        </is>
      </c>
      <c r="B8" s="113" t="inlineStr">
        <is>
          <t>george.chen</t>
        </is>
      </c>
      <c r="C8" s="113" t="inlineStr">
        <is>
          <t>g.chen@startuplab.cn</t>
        </is>
      </c>
      <c r="D8" s="113" t="inlineStr">
        <is>
          <t>Design</t>
        </is>
      </c>
      <c r="E8" s="113" t="inlineStr">
        <is>
          <t>Design Director</t>
        </is>
      </c>
      <c r="F8" s="126" t="inlineStr">
        <is>
          <t>Design Thinking</t>
        </is>
      </c>
      <c r="G8" s="124" t="inlineStr">
        <is>
          <t>Non-Local</t>
        </is>
      </c>
      <c r="H8" s="127" t="inlineStr">
        <is>
          <t>Marriott Convention</t>
        </is>
      </c>
      <c r="I8" s="110" t="inlineStr">
        <is>
          <t>Yes</t>
        </is>
      </c>
      <c r="J8" s="110" t="inlineStr">
        <is>
          <t>Yes</t>
        </is>
      </c>
      <c r="K8" s="110" t="inlineStr">
        <is>
          <t>Yes</t>
        </is>
      </c>
      <c r="L8" s="110" t="inlineStr">
        <is>
          <t>No</t>
        </is>
      </c>
      <c r="M8" s="110" t="inlineStr">
        <is>
          <t>Yes</t>
        </is>
      </c>
      <c r="N8" s="112" t="inlineStr">
        <is>
          <t>Wei Chen</t>
        </is>
      </c>
      <c r="O8" s="112" t="inlineStr">
        <is>
          <t>+86-138-0107</t>
        </is>
      </c>
      <c r="P8" s="112" t="n"/>
    </row>
    <row r="9" ht="15" customHeight="1" s="107">
      <c r="A9" s="116" t="inlineStr">
        <is>
          <t>P008</t>
        </is>
      </c>
      <c r="B9" s="119" t="inlineStr">
        <is>
          <t>hannah.weber</t>
        </is>
      </c>
      <c r="C9" s="119" t="inlineStr">
        <is>
          <t>h.weber@logicorp.de</t>
        </is>
      </c>
      <c r="D9" s="119" t="inlineStr">
        <is>
          <t>Operations</t>
        </is>
      </c>
      <c r="E9" s="119" t="inlineStr">
        <is>
          <t>Process Engineer</t>
        </is>
      </c>
      <c r="F9" s="128" t="inlineStr">
        <is>
          <t>Operations</t>
        </is>
      </c>
      <c r="G9" s="124" t="inlineStr">
        <is>
          <t>Non-Local</t>
        </is>
      </c>
      <c r="H9" s="125" t="inlineStr">
        <is>
          <t>Holiday Inn Express</t>
        </is>
      </c>
      <c r="I9" s="116" t="inlineStr">
        <is>
          <t>Yes</t>
        </is>
      </c>
      <c r="J9" s="116" t="inlineStr">
        <is>
          <t>Yes</t>
        </is>
      </c>
      <c r="K9" s="116" t="inlineStr">
        <is>
          <t>Yes</t>
        </is>
      </c>
      <c r="L9" s="116" t="inlineStr">
        <is>
          <t>Yes</t>
        </is>
      </c>
      <c r="M9" s="116" t="inlineStr">
        <is>
          <t>Yes</t>
        </is>
      </c>
      <c r="N9" s="118" t="inlineStr">
        <is>
          <t>Thomas Weber</t>
        </is>
      </c>
      <c r="O9" s="118" t="inlineStr">
        <is>
          <t>+49-170-0108</t>
        </is>
      </c>
      <c r="P9" s="118" t="n"/>
    </row>
    <row r="10" ht="15" customHeight="1" s="107">
      <c r="A10" s="110" t="inlineStr">
        <is>
          <t>P009</t>
        </is>
      </c>
      <c r="B10" s="113" t="inlineStr">
        <is>
          <t>ibrahim.diallo</t>
        </is>
      </c>
      <c r="C10" s="113" t="inlineStr">
        <is>
          <t>i.diallo@afrotech.sn</t>
        </is>
      </c>
      <c r="D10" s="113" t="inlineStr">
        <is>
          <t>Engineering</t>
        </is>
      </c>
      <c r="E10" s="113" t="inlineStr">
        <is>
          <t>Eng. Manager</t>
        </is>
      </c>
      <c r="F10" s="123" t="inlineStr">
        <is>
          <t>Technical</t>
        </is>
      </c>
      <c r="G10" s="124" t="inlineStr">
        <is>
          <t>Non-Local</t>
        </is>
      </c>
      <c r="H10" s="127" t="inlineStr">
        <is>
          <t>Hyatt Regency</t>
        </is>
      </c>
      <c r="I10" s="110" t="inlineStr">
        <is>
          <t>No</t>
        </is>
      </c>
      <c r="J10" s="110" t="inlineStr">
        <is>
          <t>Yes</t>
        </is>
      </c>
      <c r="K10" s="110" t="inlineStr">
        <is>
          <t>Yes</t>
        </is>
      </c>
      <c r="L10" s="110" t="inlineStr">
        <is>
          <t>Yes</t>
        </is>
      </c>
      <c r="M10" s="110" t="inlineStr">
        <is>
          <t>Yes</t>
        </is>
      </c>
      <c r="N10" s="112" t="inlineStr">
        <is>
          <t>Aminata Diallo</t>
        </is>
      </c>
      <c r="O10" s="112" t="inlineStr">
        <is>
          <t>+221-77-0109</t>
        </is>
      </c>
      <c r="P10" s="112" t="n"/>
    </row>
    <row r="11" ht="15" customHeight="1" s="107">
      <c r="A11" s="116" t="inlineStr">
        <is>
          <t>P010</t>
        </is>
      </c>
      <c r="B11" s="119" t="inlineStr">
        <is>
          <t>julia.fernandez</t>
        </is>
      </c>
      <c r="C11" s="119" t="inlineStr">
        <is>
          <t>j.fernandez@consulta.mx</t>
        </is>
      </c>
      <c r="D11" s="119" t="inlineStr">
        <is>
          <t>Strategy</t>
        </is>
      </c>
      <c r="E11" s="119" t="inlineStr">
        <is>
          <t>Strategy Consultant</t>
        </is>
      </c>
      <c r="F11" s="121" t="inlineStr">
        <is>
          <t>Leadership</t>
        </is>
      </c>
      <c r="G11" s="124" t="inlineStr">
        <is>
          <t>Non-Local</t>
        </is>
      </c>
      <c r="H11" s="125" t="inlineStr">
        <is>
          <t>Hilton Downtown</t>
        </is>
      </c>
      <c r="I11" s="116" t="inlineStr">
        <is>
          <t>Yes</t>
        </is>
      </c>
      <c r="J11" s="116" t="inlineStr">
        <is>
          <t>Yes</t>
        </is>
      </c>
      <c r="K11" s="116" t="inlineStr">
        <is>
          <t>Yes</t>
        </is>
      </c>
      <c r="L11" s="116" t="inlineStr">
        <is>
          <t>Yes</t>
        </is>
      </c>
      <c r="M11" s="116" t="inlineStr">
        <is>
          <t>Yes</t>
        </is>
      </c>
      <c r="N11" s="118" t="inlineStr">
        <is>
          <t>Roberto Fernandez</t>
        </is>
      </c>
      <c r="O11" s="118" t="inlineStr">
        <is>
          <t>+52-55-0110</t>
        </is>
      </c>
      <c r="P11" s="118" t="n"/>
    </row>
    <row r="12" ht="15" customHeight="1" s="107">
      <c r="A12" s="110" t="inlineStr">
        <is>
          <t>P011</t>
        </is>
      </c>
      <c r="B12" s="113" t="inlineStr">
        <is>
          <t>kevin.obrien</t>
        </is>
      </c>
      <c r="C12" s="113" t="inlineStr">
        <is>
          <t>k.obrien@dublinsoft.ie</t>
        </is>
      </c>
      <c r="D12" s="113" t="inlineStr">
        <is>
          <t>Engineering</t>
        </is>
      </c>
      <c r="E12" s="113" t="inlineStr">
        <is>
          <t>DevOps Lead</t>
        </is>
      </c>
      <c r="F12" s="123" t="inlineStr">
        <is>
          <t>Technical</t>
        </is>
      </c>
      <c r="G12" s="124" t="inlineStr">
        <is>
          <t>Non-Local</t>
        </is>
      </c>
      <c r="H12" s="127" t="inlineStr">
        <is>
          <t>Marriott Convention</t>
        </is>
      </c>
      <c r="I12" s="110" t="inlineStr">
        <is>
          <t>Yes</t>
        </is>
      </c>
      <c r="J12" s="110" t="inlineStr">
        <is>
          <t>Yes</t>
        </is>
      </c>
      <c r="K12" s="110" t="inlineStr">
        <is>
          <t>Yes</t>
        </is>
      </c>
      <c r="L12" s="110" t="inlineStr">
        <is>
          <t>Yes</t>
        </is>
      </c>
      <c r="M12" s="110" t="inlineStr">
        <is>
          <t>No</t>
        </is>
      </c>
      <c r="N12" s="112" t="inlineStr">
        <is>
          <t>Siobhan O'Brien</t>
        </is>
      </c>
      <c r="O12" s="112" t="inlineStr">
        <is>
          <t>+353-86-0111</t>
        </is>
      </c>
      <c r="P12" s="112" t="n"/>
    </row>
    <row r="13" ht="15" customHeight="1" s="107">
      <c r="A13" s="116" t="inlineStr">
        <is>
          <t>P012</t>
        </is>
      </c>
      <c r="B13" s="119" t="inlineStr">
        <is>
          <t>lina.nakamura</t>
        </is>
      </c>
      <c r="C13" s="119" t="inlineStr">
        <is>
          <t>l.nakamura@tokyoux.jp</t>
        </is>
      </c>
      <c r="D13" s="119" t="inlineStr">
        <is>
          <t>Design</t>
        </is>
      </c>
      <c r="E13" s="119" t="inlineStr">
        <is>
          <t>Service Designer</t>
        </is>
      </c>
      <c r="F13" s="126" t="inlineStr">
        <is>
          <t>Design Thinking</t>
        </is>
      </c>
      <c r="G13" s="124" t="inlineStr">
        <is>
          <t>Non-Local</t>
        </is>
      </c>
      <c r="H13" s="125" t="inlineStr">
        <is>
          <t>Holiday Inn Express</t>
        </is>
      </c>
      <c r="I13" s="116" t="inlineStr">
        <is>
          <t>Yes</t>
        </is>
      </c>
      <c r="J13" s="116" t="inlineStr">
        <is>
          <t>No</t>
        </is>
      </c>
      <c r="K13" s="116" t="inlineStr">
        <is>
          <t>Yes</t>
        </is>
      </c>
      <c r="L13" s="116" t="inlineStr">
        <is>
          <t>Yes</t>
        </is>
      </c>
      <c r="M13" s="116" t="inlineStr">
        <is>
          <t>Yes</t>
        </is>
      </c>
      <c r="N13" s="118" t="inlineStr">
        <is>
          <t>Yuki Nakamura</t>
        </is>
      </c>
      <c r="O13" s="118" t="inlineStr">
        <is>
          <t>+81-90-0112</t>
        </is>
      </c>
      <c r="P13" s="118" t="n"/>
    </row>
    <row r="14" ht="15" customHeight="1" s="107">
      <c r="A14" s="110" t="inlineStr">
        <is>
          <t>P013</t>
        </is>
      </c>
      <c r="B14" s="113" t="inlineStr">
        <is>
          <t>marcus.brown</t>
        </is>
      </c>
      <c r="C14" s="113" t="inlineStr">
        <is>
          <t>m.brown@opscenter.us</t>
        </is>
      </c>
      <c r="D14" s="113" t="inlineStr">
        <is>
          <t>Logistics</t>
        </is>
      </c>
      <c r="E14" s="113" t="inlineStr">
        <is>
          <t>Logistics Mgr</t>
        </is>
      </c>
      <c r="F14" s="128" t="inlineStr">
        <is>
          <t>Operations</t>
        </is>
      </c>
      <c r="G14" s="122" t="inlineStr">
        <is>
          <t>Local</t>
        </is>
      </c>
      <c r="H14" s="113" t="n"/>
      <c r="I14" s="110" t="inlineStr">
        <is>
          <t>Yes</t>
        </is>
      </c>
      <c r="J14" s="110" t="inlineStr">
        <is>
          <t>Yes</t>
        </is>
      </c>
      <c r="K14" s="110" t="inlineStr">
        <is>
          <t>Yes</t>
        </is>
      </c>
      <c r="L14" s="110" t="inlineStr">
        <is>
          <t>Yes</t>
        </is>
      </c>
      <c r="M14" s="110" t="inlineStr">
        <is>
          <t>Yes</t>
        </is>
      </c>
      <c r="N14" s="112" t="inlineStr">
        <is>
          <t>Sarah Brown</t>
        </is>
      </c>
      <c r="O14" s="112" t="inlineStr">
        <is>
          <t>+1-555-0113</t>
        </is>
      </c>
      <c r="P14" s="112" t="n"/>
    </row>
    <row r="15" ht="15" customHeight="1" s="107">
      <c r="A15" s="116" t="inlineStr">
        <is>
          <t>P014</t>
        </is>
      </c>
      <c r="B15" s="119" t="inlineStr">
        <is>
          <t>nadia.kovalenko</t>
        </is>
      </c>
      <c r="C15" s="119" t="inlineStr">
        <is>
          <t>n.kovalenko@dataflow.ua</t>
        </is>
      </c>
      <c r="D15" s="119" t="inlineStr">
        <is>
          <t>Data</t>
        </is>
      </c>
      <c r="E15" s="119" t="inlineStr">
        <is>
          <t>Data Engineer</t>
        </is>
      </c>
      <c r="F15" s="123" t="inlineStr">
        <is>
          <t>Technical</t>
        </is>
      </c>
      <c r="G15" s="124" t="inlineStr">
        <is>
          <t>Non-Local</t>
        </is>
      </c>
      <c r="H15" s="125" t="inlineStr">
        <is>
          <t>Hyatt Regency</t>
        </is>
      </c>
      <c r="I15" s="116" t="inlineStr">
        <is>
          <t>Yes</t>
        </is>
      </c>
      <c r="J15" s="116" t="inlineStr">
        <is>
          <t>Yes</t>
        </is>
      </c>
      <c r="K15" s="116" t="inlineStr">
        <is>
          <t>Yes</t>
        </is>
      </c>
      <c r="L15" s="116" t="inlineStr">
        <is>
          <t>Yes</t>
        </is>
      </c>
      <c r="M15" s="116" t="inlineStr">
        <is>
          <t>Yes</t>
        </is>
      </c>
      <c r="N15" s="118" t="inlineStr">
        <is>
          <t>Oleksandr K.</t>
        </is>
      </c>
      <c r="O15" s="118" t="inlineStr">
        <is>
          <t>+380-67-0114</t>
        </is>
      </c>
      <c r="P15" s="118" t="n"/>
    </row>
    <row r="16" ht="15" customHeight="1" s="107">
      <c r="A16" s="110" t="inlineStr">
        <is>
          <t>P015</t>
        </is>
      </c>
      <c r="B16" s="113" t="inlineStr">
        <is>
          <t>oscar.lindgren</t>
        </is>
      </c>
      <c r="C16" s="113" t="inlineStr">
        <is>
          <t>o.lindgren@greentech.se</t>
        </is>
      </c>
      <c r="D16" s="113" t="inlineStr">
        <is>
          <t>Sustainability</t>
        </is>
      </c>
      <c r="E16" s="113" t="inlineStr">
        <is>
          <t>Sustainability Lead</t>
        </is>
      </c>
      <c r="F16" s="128" t="inlineStr">
        <is>
          <t>Operations</t>
        </is>
      </c>
      <c r="G16" s="124" t="inlineStr">
        <is>
          <t>Non-Local</t>
        </is>
      </c>
      <c r="H16" s="127" t="inlineStr">
        <is>
          <t>Marriott Convention</t>
        </is>
      </c>
      <c r="I16" s="110" t="inlineStr">
        <is>
          <t>Yes</t>
        </is>
      </c>
      <c r="J16" s="110" t="inlineStr">
        <is>
          <t>Yes</t>
        </is>
      </c>
      <c r="K16" s="110" t="inlineStr">
        <is>
          <t>No</t>
        </is>
      </c>
      <c r="L16" s="110" t="inlineStr">
        <is>
          <t>Yes</t>
        </is>
      </c>
      <c r="M16" s="110" t="inlineStr">
        <is>
          <t>Yes</t>
        </is>
      </c>
      <c r="N16" s="112" t="inlineStr">
        <is>
          <t>Anna Lindgren</t>
        </is>
      </c>
      <c r="O16" s="112" t="inlineStr">
        <is>
          <t>+46-73-0115</t>
        </is>
      </c>
      <c r="P16" s="112" t="n"/>
    </row>
    <row r="17" ht="15" customHeight="1" s="107">
      <c r="A17" s="116" t="inlineStr">
        <is>
          <t>P016</t>
        </is>
      </c>
      <c r="B17" s="119" t="inlineStr">
        <is>
          <t>priya.menon</t>
        </is>
      </c>
      <c r="C17" s="119" t="inlineStr">
        <is>
          <t>p.menon@cloudnine.in</t>
        </is>
      </c>
      <c r="D17" s="119" t="inlineStr">
        <is>
          <t>Engineering</t>
        </is>
      </c>
      <c r="E17" s="119" t="inlineStr">
        <is>
          <t>VP Engineering</t>
        </is>
      </c>
      <c r="F17" s="123" t="inlineStr">
        <is>
          <t>Technical</t>
        </is>
      </c>
      <c r="G17" s="124" t="inlineStr">
        <is>
          <t>Non-Local</t>
        </is>
      </c>
      <c r="H17" s="125" t="inlineStr">
        <is>
          <t>Hilton Downtown</t>
        </is>
      </c>
      <c r="I17" s="116" t="inlineStr">
        <is>
          <t>Yes</t>
        </is>
      </c>
      <c r="J17" s="116" t="inlineStr">
        <is>
          <t>Yes</t>
        </is>
      </c>
      <c r="K17" s="116" t="inlineStr">
        <is>
          <t>Yes</t>
        </is>
      </c>
      <c r="L17" s="116" t="inlineStr">
        <is>
          <t>Yes</t>
        </is>
      </c>
      <c r="M17" s="116" t="inlineStr">
        <is>
          <t>Yes</t>
        </is>
      </c>
      <c r="N17" s="118" t="inlineStr">
        <is>
          <t>Raj Menon</t>
        </is>
      </c>
      <c r="O17" s="118" t="inlineStr">
        <is>
          <t>+91-98-0116</t>
        </is>
      </c>
      <c r="P17" s="118" t="n"/>
    </row>
    <row r="18" ht="15" customHeight="1" s="107">
      <c r="A18" s="110" t="inlineStr">
        <is>
          <t>P017</t>
        </is>
      </c>
      <c r="B18" s="113" t="inlineStr">
        <is>
          <t>quentin.dubois</t>
        </is>
      </c>
      <c r="C18" s="113" t="inlineStr">
        <is>
          <t>q.dubois@parislab.fr</t>
        </is>
      </c>
      <c r="D18" s="113" t="inlineStr">
        <is>
          <t>Innovation</t>
        </is>
      </c>
      <c r="E18" s="113" t="inlineStr">
        <is>
          <t>Innovation Lead</t>
        </is>
      </c>
      <c r="F18" s="126" t="inlineStr">
        <is>
          <t>Design Thinking</t>
        </is>
      </c>
      <c r="G18" s="124" t="inlineStr">
        <is>
          <t>Non-Local</t>
        </is>
      </c>
      <c r="H18" s="127" t="inlineStr">
        <is>
          <t>Holiday Inn Express</t>
        </is>
      </c>
      <c r="I18" s="110" t="inlineStr">
        <is>
          <t>Yes</t>
        </is>
      </c>
      <c r="J18" s="110" t="inlineStr">
        <is>
          <t>Yes</t>
        </is>
      </c>
      <c r="K18" s="110" t="inlineStr">
        <is>
          <t>Yes</t>
        </is>
      </c>
      <c r="L18" s="110" t="inlineStr">
        <is>
          <t>Yes</t>
        </is>
      </c>
      <c r="M18" s="110" t="inlineStr">
        <is>
          <t>No</t>
        </is>
      </c>
      <c r="N18" s="112" t="inlineStr">
        <is>
          <t>Marie Dubois</t>
        </is>
      </c>
      <c r="O18" s="112" t="inlineStr">
        <is>
          <t>+33-6-0117</t>
        </is>
      </c>
      <c r="P18" s="112" t="n"/>
    </row>
    <row r="19" ht="15" customHeight="1" s="107">
      <c r="A19" s="116" t="inlineStr">
        <is>
          <t>P018</t>
        </is>
      </c>
      <c r="B19" s="119" t="inlineStr">
        <is>
          <t>rachel.kim</t>
        </is>
      </c>
      <c r="C19" s="119" t="inlineStr">
        <is>
          <t>r.kim@seoultech.kr</t>
        </is>
      </c>
      <c r="D19" s="119" t="inlineStr">
        <is>
          <t>Operations</t>
        </is>
      </c>
      <c r="E19" s="119" t="inlineStr">
        <is>
          <t>Project Manager</t>
        </is>
      </c>
      <c r="F19" s="128" t="inlineStr">
        <is>
          <t>Operations</t>
        </is>
      </c>
      <c r="G19" s="124" t="inlineStr">
        <is>
          <t>Non-Local</t>
        </is>
      </c>
      <c r="H19" s="125" t="inlineStr">
        <is>
          <t>Hilton Downtown</t>
        </is>
      </c>
      <c r="I19" s="116" t="inlineStr">
        <is>
          <t>Yes</t>
        </is>
      </c>
      <c r="J19" s="116" t="inlineStr">
        <is>
          <t>Yes</t>
        </is>
      </c>
      <c r="K19" s="116" t="inlineStr">
        <is>
          <t>Yes</t>
        </is>
      </c>
      <c r="L19" s="116" t="inlineStr">
        <is>
          <t>Yes</t>
        </is>
      </c>
      <c r="M19" s="116" t="inlineStr">
        <is>
          <t>Yes</t>
        </is>
      </c>
      <c r="N19" s="118" t="inlineStr">
        <is>
          <t>Jun Kim</t>
        </is>
      </c>
      <c r="O19" s="118" t="inlineStr">
        <is>
          <t>+82-10-0118</t>
        </is>
      </c>
      <c r="P19" s="118" t="n"/>
    </row>
    <row r="20" ht="15" customHeight="1" s="107">
      <c r="A20" s="110" t="inlineStr">
        <is>
          <t>P019</t>
        </is>
      </c>
      <c r="B20" s="113" t="inlineStr">
        <is>
          <t>sam.adeyemi</t>
        </is>
      </c>
      <c r="C20" s="113" t="inlineStr">
        <is>
          <t>s.adeyemi@lagosops.ng</t>
        </is>
      </c>
      <c r="D20" s="113" t="inlineStr">
        <is>
          <t>Executive</t>
        </is>
      </c>
      <c r="E20" s="113" t="inlineStr">
        <is>
          <t>COO</t>
        </is>
      </c>
      <c r="F20" s="121" t="inlineStr">
        <is>
          <t>Leadership</t>
        </is>
      </c>
      <c r="G20" s="124" t="inlineStr">
        <is>
          <t>Non-Local</t>
        </is>
      </c>
      <c r="H20" s="127" t="inlineStr">
        <is>
          <t>Hyatt Regency</t>
        </is>
      </c>
      <c r="I20" s="110" t="inlineStr">
        <is>
          <t>Yes</t>
        </is>
      </c>
      <c r="J20" s="110" t="inlineStr">
        <is>
          <t>Yes</t>
        </is>
      </c>
      <c r="K20" s="110" t="inlineStr">
        <is>
          <t>Yes</t>
        </is>
      </c>
      <c r="L20" s="110" t="inlineStr">
        <is>
          <t>No</t>
        </is>
      </c>
      <c r="M20" s="110" t="inlineStr">
        <is>
          <t>Yes</t>
        </is>
      </c>
      <c r="N20" s="112" t="inlineStr">
        <is>
          <t>Grace Adeyemi</t>
        </is>
      </c>
      <c r="O20" s="112" t="inlineStr">
        <is>
          <t>+234-80-0119</t>
        </is>
      </c>
      <c r="P20" s="112" t="n"/>
    </row>
    <row r="21" ht="15" customHeight="1" s="107">
      <c r="A21" s="116" t="inlineStr">
        <is>
          <t>P020</t>
        </is>
      </c>
      <c r="B21" s="119" t="inlineStr">
        <is>
          <t>tara.singh</t>
        </is>
      </c>
      <c r="C21" s="119" t="inlineStr">
        <is>
          <t>t.singh@quantumleap.ca</t>
        </is>
      </c>
      <c r="D21" s="119" t="inlineStr">
        <is>
          <t>Engineering</t>
        </is>
      </c>
      <c r="E21" s="119" t="inlineStr">
        <is>
          <t>CTO</t>
        </is>
      </c>
      <c r="F21" s="123" t="inlineStr">
        <is>
          <t>Technical</t>
        </is>
      </c>
      <c r="G21" s="122" t="inlineStr">
        <is>
          <t>Local</t>
        </is>
      </c>
      <c r="H21" s="119" t="n"/>
      <c r="I21" s="116" t="inlineStr">
        <is>
          <t>Yes</t>
        </is>
      </c>
      <c r="J21" s="116" t="inlineStr">
        <is>
          <t>Yes</t>
        </is>
      </c>
      <c r="K21" s="116" t="inlineStr">
        <is>
          <t>Yes</t>
        </is>
      </c>
      <c r="L21" s="116" t="inlineStr">
        <is>
          <t>Yes</t>
        </is>
      </c>
      <c r="M21" s="116" t="inlineStr">
        <is>
          <t>Yes</t>
        </is>
      </c>
      <c r="N21" s="118" t="inlineStr">
        <is>
          <t>Arjun Singh</t>
        </is>
      </c>
      <c r="O21" s="118" t="inlineStr">
        <is>
          <t>+1-604-0120</t>
        </is>
      </c>
      <c r="P21" s="118" t="n"/>
    </row>
  </sheetData>
  <autoFilter ref="A1:P21"/>
  <conditionalFormatting sqref="I2:I51">
    <cfRule type="cellIs" rank="0" priority="2" equalAverage="0" operator="equal" aboveAverage="0" dxfId="9" text="" percent="0" bottom="0">
      <formula>"Yes"</formula>
    </cfRule>
    <cfRule type="cellIs" rank="0" priority="3" equalAverage="0" operator="equal" aboveAverage="0" dxfId="8" text="" percent="0" bottom="0">
      <formula>"No"</formula>
    </cfRule>
  </conditionalFormatting>
  <conditionalFormatting sqref="J2:J51">
    <cfRule type="cellIs" rank="0" priority="4" equalAverage="0" operator="equal" aboveAverage="0" dxfId="9" text="" percent="0" bottom="0">
      <formula>"Yes"</formula>
    </cfRule>
    <cfRule type="cellIs" rank="0" priority="5" equalAverage="0" operator="equal" aboveAverage="0" dxfId="8" text="" percent="0" bottom="0">
      <formula>"No"</formula>
    </cfRule>
  </conditionalFormatting>
  <conditionalFormatting sqref="K2:K51">
    <cfRule type="cellIs" rank="0" priority="6" equalAverage="0" operator="equal" aboveAverage="0" dxfId="9" text="" percent="0" bottom="0">
      <formula>"Yes"</formula>
    </cfRule>
    <cfRule type="cellIs" rank="0" priority="7" equalAverage="0" operator="equal" aboveAverage="0" dxfId="8" text="" percent="0" bottom="0">
      <formula>"No"</formula>
    </cfRule>
  </conditionalFormatting>
  <conditionalFormatting sqref="L2:L51">
    <cfRule type="cellIs" rank="0" priority="8" equalAverage="0" operator="equal" aboveAverage="0" dxfId="9" text="" percent="0" bottom="0">
      <formula>"Yes"</formula>
    </cfRule>
    <cfRule type="cellIs" rank="0" priority="9" equalAverage="0" operator="equal" aboveAverage="0" dxfId="8" text="" percent="0" bottom="0">
      <formula>"No"</formula>
    </cfRule>
  </conditionalFormatting>
  <conditionalFormatting sqref="M2:M51">
    <cfRule type="cellIs" rank="0" priority="10" equalAverage="0" operator="equal" aboveAverage="0" dxfId="9" text="" percent="0" bottom="0">
      <formula>"Yes"</formula>
    </cfRule>
    <cfRule type="cellIs" rank="0" priority="11" equalAverage="0" operator="equal" aboveAverage="0" dxfId="8" text="" percent="0" bottom="0">
      <formula>"No"</formula>
    </cfRule>
  </conditionalFormatting>
  <conditionalFormatting sqref="G2:G51">
    <cfRule type="cellIs" rank="0" priority="12" equalAverage="0" operator="equal" aboveAverage="0" dxfId="23" text="" percent="0" bottom="0">
      <formula>"Non-Local"</formula>
    </cfRule>
    <cfRule type="cellIs" rank="0" priority="13" equalAverage="0" operator="equal" aboveAverage="0" dxfId="9" text="" percent="0" bottom="0">
      <formula>"Local"</formula>
    </cfRule>
  </conditionalFormatting>
  <dataValidations count="3">
    <dataValidation sqref="I2:M51" showDropDown="0" showInputMessage="0" showErrorMessage="0" allowBlank="1" type="list" errorStyle="stop" operator="between">
      <formula1>"Yes,No"</formula1>
      <formula2>0</formula2>
    </dataValidation>
    <dataValidation sqref="G2:G51" showDropDown="0" showInputMessage="0" showErrorMessage="0" allowBlank="1" type="list" errorStyle="stop" operator="between">
      <formula1>"Local,Non-Local"</formula1>
      <formula2>0</formula2>
    </dataValidation>
    <dataValidation sqref="F2:F51" showDropDown="0" showInputMessage="0" showErrorMessage="0" allowBlank="1" errorTitle="Invalid Track" error="Please select a track from the agenda. If your track is missing, add it to SessionDB first." promptTitle="Select Track" prompt="Tracks auto-populated from SessionDB" type="list" errorStyle="stop" operator="between">
      <formula1>SessionDB!$R$2:$R$20</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tabColor rgb="FF7C3AED"/>
    <outlinePr summaryBelow="1" summaryRight="1"/>
    <pageSetUpPr fitToPage="0"/>
  </sheetPr>
  <dimension ref="A1:H54"/>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0" customWidth="1" style="106" min="1" max="1"/>
    <col width="14" customWidth="1" style="106" min="2" max="2"/>
    <col width="4" customWidth="1" style="106" min="3" max="3"/>
    <col width="30" customWidth="1" style="106" min="4" max="4"/>
    <col width="14" customWidth="1" style="106" min="5" max="5"/>
    <col hidden="1" width="2" customWidth="1" style="106" min="7" max="8"/>
  </cols>
  <sheetData>
    <row r="1" ht="39.75" customHeight="1" s="107">
      <c r="A1" s="129" t="inlineStr">
        <is>
          <t>PARTICIPANTS STATISTICS</t>
        </is>
      </c>
      <c r="G1" s="106" t="inlineStr">
        <is>
          <t>HotelList</t>
        </is>
      </c>
      <c r="H1" s="106" t="inlineStr">
        <is>
          <t>DeptList</t>
        </is>
      </c>
    </row>
    <row r="2" ht="15" customHeight="1" s="107">
      <c r="G2" s="106">
        <f>sort(unique(filter(ParticipantsDB!H2:H200,(ParticipantsDB!H2:H200&lt;&gt;"")*(LEN(ParticipantsDB!H2:H200)&gt;0))))</f>
        <v/>
      </c>
      <c r="H2" s="106">
        <f>sort(unique(filter(ParticipantsDB!D2:D200,(ParticipantsDB!D2:D200&lt;&gt;"")*(LEN(ParticipantsDB!D2:D200)&gt;0))))</f>
        <v/>
      </c>
    </row>
    <row r="3" ht="31.5" customHeight="1" s="107">
      <c r="A3" s="130" t="inlineStr">
        <is>
          <t>TOTAL OVERVIEW</t>
        </is>
      </c>
      <c r="D3" s="131" t="inlineStr">
        <is>
          <t>HOTEL BREAKDOWN</t>
        </is>
      </c>
    </row>
    <row r="4" ht="15" customHeight="1" s="107">
      <c r="A4" s="132" t="inlineStr">
        <is>
          <t>Total Participants</t>
        </is>
      </c>
      <c r="B4" s="133">
        <f>COUNTA(ParticipantsDB!A2:A200)</f>
        <v/>
      </c>
      <c r="D4" s="132">
        <f>IFERROR(INDEX($G$2:$G$50,1),"")</f>
        <v/>
      </c>
      <c r="E4" s="134">
        <f>IF(D4="","",COUNTIF(ParticipantsDB!H2:H200,D4))</f>
        <v/>
      </c>
    </row>
    <row r="5" ht="15" customHeight="1" s="107">
      <c r="A5" s="135" t="inlineStr">
        <is>
          <t>Local Participants</t>
        </is>
      </c>
      <c r="B5" s="136">
        <f>COUNTIF(ParticipantsDB!G2:G200,"Local")</f>
        <v/>
      </c>
      <c r="D5" s="135">
        <f>IFERROR(INDEX($G$2:$G$50,2),"")</f>
        <v/>
      </c>
      <c r="E5" s="137">
        <f>IF(D5="","",COUNTIF(ParticipantsDB!H2:H200,D5))</f>
        <v/>
      </c>
    </row>
    <row r="6" ht="15" customHeight="1" s="107">
      <c r="A6" s="132" t="inlineStr">
        <is>
          <t>Non-Local Participants</t>
        </is>
      </c>
      <c r="B6" s="133">
        <f>COUNTIF(ParticipantsDB!G2:G200,"Non-Local")</f>
        <v/>
      </c>
      <c r="D6" s="132">
        <f>IFERROR(INDEX($G$2:$G$50,3),"")</f>
        <v/>
      </c>
      <c r="E6" s="134">
        <f>IF(D6="","",COUNTIF(ParticipantsDB!H2:H200,D6))</f>
        <v/>
      </c>
    </row>
    <row r="7" ht="15" customHeight="1" s="107">
      <c r="A7" s="135" t="inlineStr">
        <is>
          <t>Non-Local %</t>
        </is>
      </c>
      <c r="B7" s="138">
        <f>IFERROR(COUNTIF(ParticipantsDB!G2:G200,"Non-Local")/COUNTA(ParticipantsDB!A2:A200),0)</f>
        <v/>
      </c>
      <c r="D7" s="135">
        <f>IFERROR(INDEX($G$2:$G$50,4),"")</f>
        <v/>
      </c>
      <c r="E7" s="137">
        <f>IF(D7="","",COUNTIF(ParticipantsDB!H2:H200,D7))</f>
        <v/>
      </c>
    </row>
    <row r="8" ht="15" customHeight="1" s="107">
      <c r="D8" s="132">
        <f>IFERROR(INDEX($G$2:$G$50,5),"")</f>
        <v/>
      </c>
      <c r="E8" s="134">
        <f>IF(D8="","",COUNTIF(ParticipantsDB!H2:H200,D8))</f>
        <v/>
      </c>
    </row>
    <row r="9" ht="31.5" customHeight="1" s="107">
      <c r="A9" s="139" t="inlineStr">
        <is>
          <t>DAILY ATTENDANCE</t>
        </is>
      </c>
      <c r="D9" s="135">
        <f>IFERROR(INDEX($G$2:$G$50,6),"")</f>
        <v/>
      </c>
      <c r="E9" s="137">
        <f>IF(D9="","",COUNTIF(ParticipantsDB!H2:H200,D9))</f>
        <v/>
      </c>
    </row>
    <row r="10" ht="15" customHeight="1" s="107">
      <c r="A10" s="132" t="inlineStr">
        <is>
          <t>Day 1 — Mon Mar 9</t>
        </is>
      </c>
      <c r="B10" s="133">
        <f>COUNTIF(ParticipantsDB!I2:I200,"Yes")</f>
        <v/>
      </c>
      <c r="D10" s="132">
        <f>IFERROR(INDEX($G$2:$G$50,7),"")</f>
        <v/>
      </c>
      <c r="E10" s="134">
        <f>IF(D10="","",COUNTIF(ParticipantsDB!H2:H200,D10))</f>
        <v/>
      </c>
    </row>
    <row r="11" ht="15" customHeight="1" s="107">
      <c r="A11" s="135" t="inlineStr">
        <is>
          <t>Day 2 — Tue Mar 10</t>
        </is>
      </c>
      <c r="B11" s="136">
        <f>COUNTIF(ParticipantsDB!J2:J200,"Yes")</f>
        <v/>
      </c>
      <c r="D11" s="135">
        <f>IFERROR(INDEX($G$2:$G$50,8),"")</f>
        <v/>
      </c>
      <c r="E11" s="137">
        <f>IF(D11="","",COUNTIF(ParticipantsDB!H2:H200,D11))</f>
        <v/>
      </c>
    </row>
    <row r="12" ht="15" customHeight="1" s="107">
      <c r="A12" s="132" t="inlineStr">
        <is>
          <t>Day 3 — Wed Mar 11</t>
        </is>
      </c>
      <c r="B12" s="133">
        <f>COUNTIF(ParticipantsDB!K2:K200,"Yes")</f>
        <v/>
      </c>
      <c r="D12" s="132">
        <f>IFERROR(INDEX($G$2:$G$50,9),"")</f>
        <v/>
      </c>
      <c r="E12" s="134">
        <f>IF(D12="","",COUNTIF(ParticipantsDB!H2:H200,D12))</f>
        <v/>
      </c>
    </row>
    <row r="13" ht="15" customHeight="1" s="107">
      <c r="A13" s="135" t="inlineStr">
        <is>
          <t>Day 4 — Thu Mar 12</t>
        </is>
      </c>
      <c r="B13" s="136">
        <f>COUNTIF(ParticipantsDB!L2:L200,"Yes")</f>
        <v/>
      </c>
      <c r="D13" s="135">
        <f>IFERROR(INDEX($G$2:$G$50,10),"")</f>
        <v/>
      </c>
      <c r="E13" s="137">
        <f>IF(D13="","",COUNTIF(ParticipantsDB!H2:H200,D13))</f>
        <v/>
      </c>
    </row>
    <row r="14" ht="15" customHeight="1" s="107">
      <c r="A14" s="132" t="inlineStr">
        <is>
          <t>Day 5 — Fri Mar 13</t>
        </is>
      </c>
      <c r="B14" s="133">
        <f>COUNTIF(ParticipantsDB!M2:M200,"Yes")</f>
        <v/>
      </c>
      <c r="D14" s="132" t="inlineStr">
        <is>
          <t>No Hotel Assigned</t>
        </is>
      </c>
      <c r="E14" s="133">
        <f>COUNTIFS(ParticipantsDB!G2:G200,"Non-Local",ParticipantsDB!H2:H200,"")</f>
        <v/>
      </c>
    </row>
    <row r="15" ht="15" customHeight="1" s="107">
      <c r="A15" s="135" t="inlineStr">
        <is>
          <t>Highest Day</t>
        </is>
      </c>
      <c r="B15" s="136">
        <f>MAX(B10:B14)</f>
        <v/>
      </c>
      <c r="D15" s="135" t="inlineStr">
        <is>
          <t>Total Non-Local (verify)</t>
        </is>
      </c>
      <c r="E15" s="136">
        <f>COUNTIF(ParticipantsDB!G2:G200,"Non-Local")</f>
        <v/>
      </c>
    </row>
    <row r="16" ht="15" customHeight="1" s="107">
      <c r="A16" s="132" t="inlineStr">
        <is>
          <t>Lowest Day</t>
        </is>
      </c>
      <c r="B16" s="133">
        <f>MIN(B10:B14)</f>
        <v/>
      </c>
    </row>
    <row r="17" ht="31.5" customHeight="1" s="107">
      <c r="A17" s="135" t="inlineStr">
        <is>
          <t>Avg Daily Attendance</t>
        </is>
      </c>
      <c r="B17" s="140">
        <f>IFERROR(AVERAGE(B10:B14),0)</f>
        <v/>
      </c>
      <c r="D17" s="141" t="inlineStr">
        <is>
          <t>TRACK × LOCALITY</t>
        </is>
      </c>
    </row>
    <row r="18" ht="15" customHeight="1" s="107">
      <c r="D18" s="132">
        <f>IF(IFERROR(INDEX(SessionDB!$R$2:$R$50,1),"")="","",IFERROR(INDEX(SessionDB!$R$2:$R$50,1),"")&amp;" — Local")</f>
        <v/>
      </c>
      <c r="E18" s="134">
        <f>IF(D18="","",COUNTIFS(ParticipantsDB!F2:F200,IFERROR(INDEX(SessionDB!$R$2:$R$50,1),""),ParticipantsDB!G2:G200,"Local"))</f>
        <v/>
      </c>
    </row>
    <row r="19" ht="31.5" customHeight="1" s="107">
      <c r="A19" s="142" t="inlineStr">
        <is>
          <t>BREAKDOWN BY TRACK</t>
        </is>
      </c>
      <c r="D19" s="135">
        <f>IF(IFERROR(INDEX(SessionDB!$R$2:$R$50,1),"")="","",IFERROR(INDEX(SessionDB!$R$2:$R$50,1),"")&amp;" — Non-Local")</f>
        <v/>
      </c>
      <c r="E19" s="137">
        <f>IF(D19="","",COUNTIFS(ParticipantsDB!F2:F200,IFERROR(INDEX(SessionDB!$R$2:$R$50,1),""),ParticipantsDB!G2:G200,"Non-Local"))</f>
        <v/>
      </c>
    </row>
    <row r="20" ht="15" customHeight="1" s="107">
      <c r="A20" s="132">
        <f>IFERROR(INDEX(SessionDB!$R$2:$R$50,1),"")</f>
        <v/>
      </c>
      <c r="B20" s="134">
        <f>IF(A20="","",COUNTIF(ParticipantsDB!F2:F200,A20))</f>
        <v/>
      </c>
      <c r="D20" s="132">
        <f>IF(IFERROR(INDEX(SessionDB!$R$2:$R$50,2),"")="","",IFERROR(INDEX(SessionDB!$R$2:$R$50,2),"")&amp;" — Local")</f>
        <v/>
      </c>
      <c r="E20" s="134">
        <f>IF(D20="","",COUNTIFS(ParticipantsDB!F2:F200,IFERROR(INDEX(SessionDB!$R$2:$R$50,2),""),ParticipantsDB!G2:G200,"Local"))</f>
        <v/>
      </c>
    </row>
    <row r="21" ht="15" customHeight="1" s="107">
      <c r="A21" s="135">
        <f>IFERROR(INDEX(SessionDB!$R$2:$R$50,2),"")</f>
        <v/>
      </c>
      <c r="B21" s="137">
        <f>IF(A21="","",COUNTIF(ParticipantsDB!F2:F200,A21))</f>
        <v/>
      </c>
      <c r="D21" s="135">
        <f>IF(IFERROR(INDEX(SessionDB!$R$2:$R$50,2),"")="","",IFERROR(INDEX(SessionDB!$R$2:$R$50,2),"")&amp;" — Non-Local")</f>
        <v/>
      </c>
      <c r="E21" s="137">
        <f>IF(D21="","",COUNTIFS(ParticipantsDB!F2:F200,IFERROR(INDEX(SessionDB!$R$2:$R$50,2),""),ParticipantsDB!G2:G200,"Non-Local"))</f>
        <v/>
      </c>
    </row>
    <row r="22" ht="15" customHeight="1" s="107">
      <c r="A22" s="132">
        <f>IFERROR(INDEX(SessionDB!$R$2:$R$50,3),"")</f>
        <v/>
      </c>
      <c r="B22" s="134">
        <f>IF(A22="","",COUNTIF(ParticipantsDB!F2:F200,A22))</f>
        <v/>
      </c>
      <c r="D22" s="132">
        <f>IF(IFERROR(INDEX(SessionDB!$R$2:$R$50,3),"")="","",IFERROR(INDEX(SessionDB!$R$2:$R$50,3),"")&amp;" — Local")</f>
        <v/>
      </c>
      <c r="E22" s="134">
        <f>IF(D22="","",COUNTIFS(ParticipantsDB!F2:F200,IFERROR(INDEX(SessionDB!$R$2:$R$50,3),""),ParticipantsDB!G2:G200,"Local"))</f>
        <v/>
      </c>
    </row>
    <row r="23" ht="15" customHeight="1" s="107">
      <c r="A23" s="135">
        <f>IFERROR(INDEX(SessionDB!$R$2:$R$50,4),"")</f>
        <v/>
      </c>
      <c r="B23" s="137">
        <f>IF(A23="","",COUNTIF(ParticipantsDB!F2:F200,A23))</f>
        <v/>
      </c>
      <c r="D23" s="135">
        <f>IF(IFERROR(INDEX(SessionDB!$R$2:$R$50,3),"")="","",IFERROR(INDEX(SessionDB!$R$2:$R$50,3),"")&amp;" — Non-Local")</f>
        <v/>
      </c>
      <c r="E23" s="137">
        <f>IF(D23="","",COUNTIFS(ParticipantsDB!F2:F200,IFERROR(INDEX(SessionDB!$R$2:$R$50,3),""),ParticipantsDB!G2:G200,"Non-Local"))</f>
        <v/>
      </c>
    </row>
    <row r="24" ht="15" customHeight="1" s="107">
      <c r="A24" s="132">
        <f>IFERROR(INDEX(SessionDB!$R$2:$R$50,5),"")</f>
        <v/>
      </c>
      <c r="B24" s="134">
        <f>IF(A24="","",COUNTIF(ParticipantsDB!F2:F200,A24))</f>
        <v/>
      </c>
      <c r="D24" s="132">
        <f>IF(IFERROR(INDEX(SessionDB!$R$2:$R$50,4),"")="","",IFERROR(INDEX(SessionDB!$R$2:$R$50,4),"")&amp;" — Local")</f>
        <v/>
      </c>
      <c r="E24" s="134">
        <f>IF(D24="","",COUNTIFS(ParticipantsDB!F2:F200,IFERROR(INDEX(SessionDB!$R$2:$R$50,4),""),ParticipantsDB!G2:G200,"Local"))</f>
        <v/>
      </c>
    </row>
    <row r="25" ht="15" customHeight="1" s="107">
      <c r="A25" s="135">
        <f>IFERROR(INDEX(SessionDB!$R$2:$R$50,6),"")</f>
        <v/>
      </c>
      <c r="B25" s="137">
        <f>IF(A25="","",COUNTIF(ParticipantsDB!F2:F200,A25))</f>
        <v/>
      </c>
      <c r="D25" s="135">
        <f>IF(IFERROR(INDEX(SessionDB!$R$2:$R$50,4),"")="","",IFERROR(INDEX(SessionDB!$R$2:$R$50,4),"")&amp;" — Non-Local")</f>
        <v/>
      </c>
      <c r="E25" s="137">
        <f>IF(D25="","",COUNTIFS(ParticipantsDB!F2:F200,IFERROR(INDEX(SessionDB!$R$2:$R$50,4),""),ParticipantsDB!G2:G200,"Non-Local"))</f>
        <v/>
      </c>
    </row>
    <row r="26" ht="15" customHeight="1" s="107">
      <c r="A26" s="132">
        <f>IFERROR(INDEX(SessionDB!$R$2:$R$50,7),"")</f>
        <v/>
      </c>
      <c r="B26" s="134">
        <f>IF(A26="","",COUNTIF(ParticipantsDB!F2:F200,A26))</f>
        <v/>
      </c>
      <c r="D26" s="132">
        <f>IF(IFERROR(INDEX(SessionDB!$R$2:$R$50,5),"")="","",IFERROR(INDEX(SessionDB!$R$2:$R$50,5),"")&amp;" — Local")</f>
        <v/>
      </c>
      <c r="E26" s="134">
        <f>IF(D26="","",COUNTIFS(ParticipantsDB!F2:F200,IFERROR(INDEX(SessionDB!$R$2:$R$50,5),""),ParticipantsDB!G2:G200,"Local"))</f>
        <v/>
      </c>
    </row>
    <row r="27" ht="15" customHeight="1" s="107">
      <c r="A27" s="135">
        <f>IFERROR(INDEX(SessionDB!$R$2:$R$50,8),"")</f>
        <v/>
      </c>
      <c r="B27" s="137">
        <f>IF(A27="","",COUNTIF(ParticipantsDB!F2:F200,A27))</f>
        <v/>
      </c>
      <c r="D27" s="135">
        <f>IF(IFERROR(INDEX(SessionDB!$R$2:$R$50,5),"")="","",IFERROR(INDEX(SessionDB!$R$2:$R$50,5),"")&amp;" — Non-Local")</f>
        <v/>
      </c>
      <c r="E27" s="137">
        <f>IF(D27="","",COUNTIFS(ParticipantsDB!F2:F200,IFERROR(INDEX(SessionDB!$R$2:$R$50,5),""),ParticipantsDB!G2:G200,"Non-Local"))</f>
        <v/>
      </c>
    </row>
    <row r="28" ht="15" customHeight="1" s="107">
      <c r="A28" s="132">
        <f>IFERROR(INDEX(SessionDB!$R$2:$R$50,9),"")</f>
        <v/>
      </c>
      <c r="B28" s="134">
        <f>IF(A28="","",COUNTIF(ParticipantsDB!F2:F200,A28))</f>
        <v/>
      </c>
      <c r="D28" s="132">
        <f>IF(IFERROR(INDEX(SessionDB!$R$2:$R$50,6),"")="","",IFERROR(INDEX(SessionDB!$R$2:$R$50,6),"")&amp;" — Local")</f>
        <v/>
      </c>
      <c r="E28" s="134">
        <f>IF(D28="","",COUNTIFS(ParticipantsDB!F2:F200,IFERROR(INDEX(SessionDB!$R$2:$R$50,6),""),ParticipantsDB!G2:G200,"Local"))</f>
        <v/>
      </c>
    </row>
    <row r="29" ht="15" customHeight="1" s="107">
      <c r="A29" s="135">
        <f>IFERROR(INDEX(SessionDB!$R$2:$R$50,10),"")</f>
        <v/>
      </c>
      <c r="B29" s="137">
        <f>IF(A29="","",COUNTIF(ParticipantsDB!F2:F200,A29))</f>
        <v/>
      </c>
      <c r="D29" s="135">
        <f>IF(IFERROR(INDEX(SessionDB!$R$2:$R$50,6),"")="","",IFERROR(INDEX(SessionDB!$R$2:$R$50,6),"")&amp;" — Non-Local")</f>
        <v/>
      </c>
      <c r="E29" s="137">
        <f>IF(D29="","",COUNTIFS(ParticipantsDB!F2:F200,IFERROR(INDEX(SessionDB!$R$2:$R$50,6),""),ParticipantsDB!G2:G200,"Non-Local"))</f>
        <v/>
      </c>
    </row>
    <row r="30" ht="15" customHeight="1" s="107">
      <c r="A30" s="132" t="inlineStr">
        <is>
          <t>Total (verify)</t>
        </is>
      </c>
      <c r="B30" s="133">
        <f>COUNTA(ParticipantsDB!A2:A200)</f>
        <v/>
      </c>
      <c r="D30" s="132">
        <f>IF(IFERROR(INDEX(SessionDB!$R$2:$R$50,7),"")="","",IFERROR(INDEX(SessionDB!$R$2:$R$50,7),"")&amp;" — Local")</f>
        <v/>
      </c>
      <c r="E30" s="134">
        <f>IF(D30="","",COUNTIFS(ParticipantsDB!F2:F200,IFERROR(INDEX(SessionDB!$R$2:$R$50,7),""),ParticipantsDB!G2:G200,"Local"))</f>
        <v/>
      </c>
    </row>
    <row r="31" ht="15" customHeight="1" s="107">
      <c r="D31" s="135">
        <f>IF(IFERROR(INDEX(SessionDB!$R$2:$R$50,7),"")="","",IFERROR(INDEX(SessionDB!$R$2:$R$50,7),"")&amp;" — Non-Local")</f>
        <v/>
      </c>
      <c r="E31" s="137">
        <f>IF(D31="","",COUNTIFS(ParticipantsDB!F2:F200,IFERROR(INDEX(SessionDB!$R$2:$R$50,7),""),ParticipantsDB!G2:G200,"Non-Local"))</f>
        <v/>
      </c>
    </row>
    <row r="32" ht="15" customHeight="1" s="107">
      <c r="D32" s="132">
        <f>IF(IFERROR(INDEX(SessionDB!$R$2:$R$50,8),"")="","",IFERROR(INDEX(SessionDB!$R$2:$R$50,8),"")&amp;" — Local")</f>
        <v/>
      </c>
      <c r="E32" s="134">
        <f>IF(D32="","",COUNTIFS(ParticipantsDB!F2:F200,IFERROR(INDEX(SessionDB!$R$2:$R$50,8),""),ParticipantsDB!G2:G200,"Local"))</f>
        <v/>
      </c>
    </row>
    <row r="33" ht="15" customHeight="1" s="107">
      <c r="D33" s="135">
        <f>IF(IFERROR(INDEX(SessionDB!$R$2:$R$50,8),"")="","",IFERROR(INDEX(SessionDB!$R$2:$R$50,8),"")&amp;" — Non-Local")</f>
        <v/>
      </c>
      <c r="E33" s="137">
        <f>IF(D33="","",COUNTIFS(ParticipantsDB!F2:F200,IFERROR(INDEX(SessionDB!$R$2:$R$50,8),""),ParticipantsDB!G2:G200,"Non-Local"))</f>
        <v/>
      </c>
    </row>
    <row r="34" ht="15" customHeight="1" s="107">
      <c r="D34" s="132">
        <f>IF(IFERROR(INDEX(SessionDB!$R$2:$R$50,9),"")="","",IFERROR(INDEX(SessionDB!$R$2:$R$50,9),"")&amp;" — Local")</f>
        <v/>
      </c>
      <c r="E34" s="134">
        <f>IF(D34="","",COUNTIFS(ParticipantsDB!F2:F200,IFERROR(INDEX(SessionDB!$R$2:$R$50,9),""),ParticipantsDB!G2:G200,"Local"))</f>
        <v/>
      </c>
    </row>
    <row r="35" ht="15" customHeight="1" s="107">
      <c r="D35" s="135">
        <f>IF(IFERROR(INDEX(SessionDB!$R$2:$R$50,9),"")="","",IFERROR(INDEX(SessionDB!$R$2:$R$50,9),"")&amp;" — Non-Local")</f>
        <v/>
      </c>
      <c r="E35" s="137">
        <f>IF(D35="","",COUNTIFS(ParticipantsDB!F2:F200,IFERROR(INDEX(SessionDB!$R$2:$R$50,9),""),ParticipantsDB!G2:G200,"Non-Local"))</f>
        <v/>
      </c>
    </row>
    <row r="36" ht="15" customHeight="1" s="107">
      <c r="D36" s="132">
        <f>IF(IFERROR(INDEX(SessionDB!$R$2:$R$50,10),"")="","",IFERROR(INDEX(SessionDB!$R$2:$R$50,10),"")&amp;" — Local")</f>
        <v/>
      </c>
      <c r="E36" s="134">
        <f>IF(D36="","",COUNTIFS(ParticipantsDB!F2:F200,IFERROR(INDEX(SessionDB!$R$2:$R$50,10),""),ParticipantsDB!G2:G200,"Local"))</f>
        <v/>
      </c>
    </row>
    <row r="37" ht="15" customHeight="1" s="107">
      <c r="D37" s="135">
        <f>IF(IFERROR(INDEX(SessionDB!$R$2:$R$50,10),"")="","",IFERROR(INDEX(SessionDB!$R$2:$R$50,10),"")&amp;" — Non-Local")</f>
        <v/>
      </c>
      <c r="E37" s="137">
        <f>IF(D37="","",COUNTIFS(ParticipantsDB!F2:F200,IFERROR(INDEX(SessionDB!$R$2:$R$50,10),""),ParticipantsDB!G2:G200,"Non-Local"))</f>
        <v/>
      </c>
    </row>
    <row r="39" ht="31.5" customHeight="1" s="107">
      <c r="D39" s="142" t="inlineStr">
        <is>
          <t>DEPARTMENT BREAKDOWN</t>
        </is>
      </c>
    </row>
    <row r="40" ht="15" customHeight="1" s="107">
      <c r="D40" s="132">
        <f>IFERROR(INDEX($H$2:$H$50,1),"")</f>
        <v/>
      </c>
      <c r="E40" s="134">
        <f>IF(D40="","",COUNTIF(ParticipantsDB!D2:D200,D40))</f>
        <v/>
      </c>
    </row>
    <row r="41" ht="15" customHeight="1" s="107">
      <c r="D41" s="135">
        <f>IFERROR(INDEX($H$2:$H$50,2),"")</f>
        <v/>
      </c>
      <c r="E41" s="137">
        <f>IF(D41="","",COUNTIF(ParticipantsDB!D2:D200,D41))</f>
        <v/>
      </c>
    </row>
    <row r="42" ht="15" customHeight="1" s="107">
      <c r="D42" s="132">
        <f>IFERROR(INDEX($H$2:$H$50,3),"")</f>
        <v/>
      </c>
      <c r="E42" s="134">
        <f>IF(D42="","",COUNTIF(ParticipantsDB!D2:D200,D42))</f>
        <v/>
      </c>
    </row>
    <row r="43" ht="15" customHeight="1" s="107">
      <c r="D43" s="135">
        <f>IFERROR(INDEX($H$2:$H$50,4),"")</f>
        <v/>
      </c>
      <c r="E43" s="137">
        <f>IF(D43="","",COUNTIF(ParticipantsDB!D2:D200,D43))</f>
        <v/>
      </c>
    </row>
    <row r="44" ht="15" customHeight="1" s="107">
      <c r="D44" s="132">
        <f>IFERROR(INDEX($H$2:$H$50,5),"")</f>
        <v/>
      </c>
      <c r="E44" s="134">
        <f>IF(D44="","",COUNTIF(ParticipantsDB!D2:D200,D44))</f>
        <v/>
      </c>
    </row>
    <row r="45" ht="15" customHeight="1" s="107">
      <c r="D45" s="135">
        <f>IFERROR(INDEX($H$2:$H$50,6),"")</f>
        <v/>
      </c>
      <c r="E45" s="137">
        <f>IF(D45="","",COUNTIF(ParticipantsDB!D2:D200,D45))</f>
        <v/>
      </c>
    </row>
    <row r="46" ht="15" customHeight="1" s="107">
      <c r="D46" s="132">
        <f>IFERROR(INDEX($H$2:$H$50,7),"")</f>
        <v/>
      </c>
      <c r="E46" s="134">
        <f>IF(D46="","",COUNTIF(ParticipantsDB!D2:D200,D46))</f>
        <v/>
      </c>
    </row>
    <row r="47" ht="15" customHeight="1" s="107">
      <c r="D47" s="135">
        <f>IFERROR(INDEX($H$2:$H$50,8),"")</f>
        <v/>
      </c>
      <c r="E47" s="137">
        <f>IF(D47="","",COUNTIF(ParticipantsDB!D2:D200,D47))</f>
        <v/>
      </c>
    </row>
    <row r="48" ht="15" customHeight="1" s="107">
      <c r="D48" s="132">
        <f>IFERROR(INDEX($H$2:$H$50,9),"")</f>
        <v/>
      </c>
      <c r="E48" s="134">
        <f>IF(D48="","",COUNTIF(ParticipantsDB!D2:D200,D48))</f>
        <v/>
      </c>
    </row>
    <row r="49" ht="15" customHeight="1" s="107">
      <c r="D49" s="135">
        <f>IFERROR(INDEX($H$2:$H$50,10),"")</f>
        <v/>
      </c>
      <c r="E49" s="137">
        <f>IF(D49="","",COUNTIF(ParticipantsDB!D2:D200,D49))</f>
        <v/>
      </c>
    </row>
    <row r="50" ht="15" customHeight="1" s="107">
      <c r="D50" s="132">
        <f>IFERROR(INDEX($H$2:$H$50,11),"")</f>
        <v/>
      </c>
      <c r="E50" s="134">
        <f>IF(D50="","",COUNTIF(ParticipantsDB!D2:D200,D50))</f>
        <v/>
      </c>
    </row>
    <row r="51" ht="15" customHeight="1" s="107">
      <c r="D51" s="135">
        <f>IFERROR(INDEX($H$2:$H$50,12),"")</f>
        <v/>
      </c>
      <c r="E51" s="137">
        <f>IF(D51="","",COUNTIF(ParticipantsDB!D2:D200,D51))</f>
        <v/>
      </c>
    </row>
    <row r="52" ht="15" customHeight="1" s="107">
      <c r="D52" s="132">
        <f>IFERROR(INDEX($H$2:$H$50,13),"")</f>
        <v/>
      </c>
      <c r="E52" s="134">
        <f>IF(D52="","",COUNTIF(ParticipantsDB!D2:D200,D52))</f>
        <v/>
      </c>
    </row>
    <row r="53" ht="15" customHeight="1" s="107">
      <c r="D53" s="135">
        <f>IFERROR(INDEX($H$2:$H$50,14),"")</f>
        <v/>
      </c>
      <c r="E53" s="137">
        <f>IF(D53="","",COUNTIF(ParticipantsDB!D2:D200,D53))</f>
        <v/>
      </c>
    </row>
    <row r="54" ht="15" customHeight="1" s="107">
      <c r="D54" s="132">
        <f>IFERROR(INDEX($H$2:$H$50,15),"")</f>
        <v/>
      </c>
      <c r="E54" s="134">
        <f>IF(D54="","",COUNTIF(ParticipantsDB!D2:D200,D54))</f>
        <v/>
      </c>
    </row>
  </sheetData>
  <mergeCells count="7">
    <mergeCell ref="A19:B19"/>
    <mergeCell ref="D3:E3"/>
    <mergeCell ref="A1:E1"/>
    <mergeCell ref="A9:B9"/>
    <mergeCell ref="D17:E17"/>
    <mergeCell ref="A3:B3"/>
    <mergeCell ref="D39:E39"/>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tabColor rgb="00DC2626"/>
    <outlinePr summaryBelow="1" summaryRight="1"/>
    <pageSetUpPr/>
  </sheetPr>
  <dimension ref="A1:Z58"/>
  <sheetViews>
    <sheetView workbookViewId="0">
      <pane xSplit="3" ySplit="3" topLeftCell="D4" activePane="bottomRight" state="frozen"/>
      <selection pane="topRight"/>
      <selection pane="bottomLeft"/>
      <selection pane="bottomRight" activeCell="A1" sqref="A1"/>
    </sheetView>
  </sheetViews>
  <sheetFormatPr baseColWidth="8" defaultRowHeight="15"/>
  <cols>
    <col width="16" customWidth="1" style="107" min="1" max="1"/>
    <col width="9" customWidth="1" style="107" min="2" max="2"/>
    <col width="5" customWidth="1" style="107" min="3" max="3"/>
    <col width="5" customWidth="1" style="107" min="4" max="4"/>
    <col width="5" customWidth="1" style="107" min="5" max="5"/>
    <col width="5" customWidth="1" style="107" min="6" max="6"/>
    <col width="5" customWidth="1" style="107" min="7" max="7"/>
    <col width="5" customWidth="1" style="107" min="8" max="8"/>
    <col width="5" customWidth="1" style="107" min="9" max="9"/>
    <col width="5" customWidth="1" style="107" min="10" max="10"/>
    <col width="5" customWidth="1" style="107" min="11" max="11"/>
    <col width="5" customWidth="1" style="107" min="12" max="12"/>
    <col width="5" customWidth="1" style="107" min="13" max="13"/>
    <col width="5" customWidth="1" style="107" min="14" max="14"/>
    <col width="5" customWidth="1" style="107" min="15" max="15"/>
    <col width="5" customWidth="1" style="107" min="16" max="16"/>
    <col width="5" customWidth="1" style="107" min="17" max="17"/>
    <col width="5" customWidth="1" style="107" min="18" max="18"/>
    <col width="5" customWidth="1" style="107" min="19" max="19"/>
    <col width="5" customWidth="1" style="107" min="20" max="20"/>
    <col width="5" customWidth="1" style="107" min="21" max="21"/>
    <col width="5" customWidth="1" style="107" min="22" max="22"/>
    <col width="5" customWidth="1" style="107" min="23" max="23"/>
    <col hidden="1" width="13" customWidth="1" style="107" min="26" max="26"/>
  </cols>
  <sheetData>
    <row r="1" ht="36" customHeight="1" s="107">
      <c r="A1" s="143" t="inlineStr">
        <is>
          <t>ROOM DATABASE — Source of Truth for Room Reservations</t>
        </is>
      </c>
      <c r="B1" s="144" t="n"/>
      <c r="C1" s="144" t="n"/>
      <c r="D1" s="144" t="n"/>
      <c r="E1" s="144" t="n"/>
      <c r="F1" s="144" t="n"/>
      <c r="G1" s="144" t="n"/>
      <c r="H1" s="144" t="n"/>
      <c r="I1" s="144" t="n"/>
      <c r="J1" s="144" t="n"/>
      <c r="K1" s="144" t="n"/>
      <c r="L1" s="144" t="n"/>
      <c r="M1" s="144" t="n"/>
      <c r="N1" s="144" t="n"/>
      <c r="O1" s="144" t="n"/>
      <c r="P1" s="144" t="n"/>
      <c r="Q1" s="144" t="n"/>
      <c r="R1" s="144" t="n"/>
      <c r="S1" s="144" t="n"/>
      <c r="T1" s="144" t="n"/>
      <c r="U1" s="144" t="n"/>
      <c r="V1" s="144" t="n"/>
    </row>
    <row r="2" ht="28" customHeight="1" s="107">
      <c r="A2" s="243" t="inlineStr">
        <is>
          <t>Mark 'R' = Reserved for this event. Leave blank = Not reserved. The macro reads this sheet but NEVER writes to it. Your markings are always safe.</t>
        </is>
      </c>
      <c r="B2" s="244" t="n"/>
      <c r="C2" s="244" t="n"/>
      <c r="D2" s="244" t="n"/>
      <c r="E2" s="244" t="n"/>
      <c r="F2" s="244" t="n"/>
      <c r="G2" s="244" t="n"/>
      <c r="H2" s="244" t="n"/>
      <c r="I2" s="244" t="n"/>
      <c r="J2" s="244" t="n"/>
      <c r="K2" s="244" t="n"/>
      <c r="L2" s="244" t="n"/>
      <c r="M2" s="244" t="n"/>
      <c r="N2" s="244" t="n"/>
      <c r="O2" s="244" t="n"/>
      <c r="P2" s="244" t="n"/>
      <c r="Q2" s="244" t="n"/>
      <c r="R2" s="244" t="n"/>
      <c r="S2" s="244" t="n"/>
      <c r="T2" s="244" t="n"/>
      <c r="U2" s="244" t="n"/>
      <c r="V2" s="244" t="n"/>
      <c r="Z2" t="inlineStr">
        <is>
          <t>Main Hall</t>
        </is>
      </c>
    </row>
    <row r="3" ht="22" customHeight="1" s="107">
      <c r="A3" s="245" t="inlineStr">
        <is>
          <t>Room</t>
        </is>
      </c>
      <c r="B3" s="245" t="inlineStr">
        <is>
          <t>Capacity</t>
        </is>
      </c>
      <c r="C3" s="245" t="inlineStr">
        <is>
          <t>Day</t>
        </is>
      </c>
      <c r="D3" s="246" t="inlineStr">
        <is>
          <t>08:00</t>
        </is>
      </c>
      <c r="E3" s="246" t="inlineStr">
        <is>
          <t>08:30</t>
        </is>
      </c>
      <c r="F3" s="246" t="inlineStr">
        <is>
          <t>09:00</t>
        </is>
      </c>
      <c r="G3" s="246" t="inlineStr">
        <is>
          <t>09:30</t>
        </is>
      </c>
      <c r="H3" s="246" t="inlineStr">
        <is>
          <t>10:00</t>
        </is>
      </c>
      <c r="I3" s="246" t="inlineStr">
        <is>
          <t>10:30</t>
        </is>
      </c>
      <c r="J3" s="246" t="inlineStr">
        <is>
          <t>11:00</t>
        </is>
      </c>
      <c r="K3" s="246" t="inlineStr">
        <is>
          <t>11:30</t>
        </is>
      </c>
      <c r="L3" s="246" t="inlineStr">
        <is>
          <t>12:00</t>
        </is>
      </c>
      <c r="M3" s="246" t="inlineStr">
        <is>
          <t>12:30</t>
        </is>
      </c>
      <c r="N3" s="246" t="inlineStr">
        <is>
          <t>13:00</t>
        </is>
      </c>
      <c r="O3" s="246" t="inlineStr">
        <is>
          <t>13:30</t>
        </is>
      </c>
      <c r="P3" s="246" t="inlineStr">
        <is>
          <t>14:00</t>
        </is>
      </c>
      <c r="Q3" s="246" t="inlineStr">
        <is>
          <t>14:30</t>
        </is>
      </c>
      <c r="R3" s="246" t="inlineStr">
        <is>
          <t>15:00</t>
        </is>
      </c>
      <c r="S3" s="246" t="inlineStr">
        <is>
          <t>15:30</t>
        </is>
      </c>
      <c r="T3" s="246" t="inlineStr">
        <is>
          <t>16:00</t>
        </is>
      </c>
      <c r="U3" s="246" t="inlineStr">
        <is>
          <t>16:30</t>
        </is>
      </c>
      <c r="V3" s="246" t="inlineStr">
        <is>
          <t>17:00</t>
        </is>
      </c>
      <c r="W3" s="246" t="inlineStr">
        <is>
          <t>17:30</t>
        </is>
      </c>
      <c r="Z3" t="inlineStr">
        <is>
          <t>Room A1</t>
        </is>
      </c>
    </row>
    <row r="4" ht="16" customHeight="1" s="107">
      <c r="A4" s="247" t="inlineStr">
        <is>
          <t>Main Hall</t>
        </is>
      </c>
      <c r="B4" s="248" t="n">
        <v>200</v>
      </c>
      <c r="C4" s="249" t="inlineStr">
        <is>
          <t>D1</t>
        </is>
      </c>
      <c r="D4" s="250" t="inlineStr">
        <is>
          <t>R</t>
        </is>
      </c>
      <c r="E4" s="250" t="inlineStr">
        <is>
          <t>R</t>
        </is>
      </c>
      <c r="F4" s="250" t="inlineStr">
        <is>
          <t>R</t>
        </is>
      </c>
      <c r="G4" s="250" t="inlineStr">
        <is>
          <t>R</t>
        </is>
      </c>
      <c r="H4" s="250" t="inlineStr">
        <is>
          <t>R</t>
        </is>
      </c>
      <c r="I4" s="250" t="inlineStr">
        <is>
          <t>R</t>
        </is>
      </c>
      <c r="J4" s="250" t="inlineStr">
        <is>
          <t>R</t>
        </is>
      </c>
      <c r="K4" s="250" t="inlineStr">
        <is>
          <t>R</t>
        </is>
      </c>
      <c r="L4" s="250" t="inlineStr">
        <is>
          <t>R</t>
        </is>
      </c>
      <c r="M4" s="250" t="inlineStr">
        <is>
          <t>R</t>
        </is>
      </c>
      <c r="N4" s="250" t="inlineStr">
        <is>
          <t>R</t>
        </is>
      </c>
      <c r="O4" s="250" t="inlineStr">
        <is>
          <t>R</t>
        </is>
      </c>
      <c r="P4" s="250" t="inlineStr">
        <is>
          <t>R</t>
        </is>
      </c>
      <c r="Q4" s="250" t="inlineStr">
        <is>
          <t>R</t>
        </is>
      </c>
      <c r="R4" s="250" t="inlineStr">
        <is>
          <t>R</t>
        </is>
      </c>
      <c r="S4" s="250" t="inlineStr">
        <is>
          <t>R</t>
        </is>
      </c>
      <c r="T4" s="250" t="inlineStr">
        <is>
          <t>R</t>
        </is>
      </c>
      <c r="U4" s="250" t="inlineStr">
        <is>
          <t>R</t>
        </is>
      </c>
      <c r="V4" s="250" t="inlineStr">
        <is>
          <t>R</t>
        </is>
      </c>
      <c r="W4" s="250" t="inlineStr">
        <is>
          <t>R</t>
        </is>
      </c>
      <c r="Z4" t="inlineStr">
        <is>
          <t>Room B1</t>
        </is>
      </c>
    </row>
    <row r="5" ht="16" customHeight="1" s="107">
      <c r="A5" s="251" t="n"/>
      <c r="B5" s="251" t="n"/>
      <c r="C5" s="252" t="inlineStr">
        <is>
          <t>D2</t>
        </is>
      </c>
      <c r="D5" s="250" t="inlineStr">
        <is>
          <t>R</t>
        </is>
      </c>
      <c r="E5" s="250" t="inlineStr">
        <is>
          <t>R</t>
        </is>
      </c>
      <c r="F5" s="250" t="inlineStr">
        <is>
          <t>R</t>
        </is>
      </c>
      <c r="G5" s="250" t="inlineStr">
        <is>
          <t>R</t>
        </is>
      </c>
      <c r="H5" s="250" t="inlineStr">
        <is>
          <t>R</t>
        </is>
      </c>
      <c r="I5" s="250" t="inlineStr">
        <is>
          <t>R</t>
        </is>
      </c>
      <c r="J5" s="250" t="inlineStr">
        <is>
          <t>R</t>
        </is>
      </c>
      <c r="K5" s="250" t="inlineStr">
        <is>
          <t>R</t>
        </is>
      </c>
      <c r="L5" s="250" t="inlineStr">
        <is>
          <t>R</t>
        </is>
      </c>
      <c r="M5" s="250" t="inlineStr">
        <is>
          <t>R</t>
        </is>
      </c>
      <c r="N5" s="250" t="inlineStr">
        <is>
          <t>R</t>
        </is>
      </c>
      <c r="O5" s="250" t="inlineStr">
        <is>
          <t>R</t>
        </is>
      </c>
      <c r="P5" s="250" t="inlineStr">
        <is>
          <t>R</t>
        </is>
      </c>
      <c r="Q5" s="250" t="inlineStr">
        <is>
          <t>R</t>
        </is>
      </c>
      <c r="R5" s="250" t="inlineStr">
        <is>
          <t>R</t>
        </is>
      </c>
      <c r="S5" s="250" t="inlineStr">
        <is>
          <t>R</t>
        </is>
      </c>
      <c r="T5" s="250" t="inlineStr">
        <is>
          <t>R</t>
        </is>
      </c>
      <c r="U5" s="250" t="inlineStr">
        <is>
          <t>R</t>
        </is>
      </c>
      <c r="V5" s="250" t="inlineStr">
        <is>
          <t>R</t>
        </is>
      </c>
      <c r="W5" s="250" t="inlineStr">
        <is>
          <t>R</t>
        </is>
      </c>
      <c r="Z5" t="inlineStr">
        <is>
          <t>Room C1</t>
        </is>
      </c>
    </row>
    <row r="6" ht="16" customHeight="1" s="107">
      <c r="A6" s="251" t="n"/>
      <c r="B6" s="251" t="n"/>
      <c r="C6" s="253" t="inlineStr">
        <is>
          <t>D3</t>
        </is>
      </c>
      <c r="D6" s="250" t="inlineStr">
        <is>
          <t>R</t>
        </is>
      </c>
      <c r="E6" s="250" t="inlineStr">
        <is>
          <t>R</t>
        </is>
      </c>
      <c r="F6" s="250" t="inlineStr">
        <is>
          <t>R</t>
        </is>
      </c>
      <c r="G6" s="250" t="inlineStr">
        <is>
          <t>R</t>
        </is>
      </c>
      <c r="H6" s="250" t="inlineStr">
        <is>
          <t>R</t>
        </is>
      </c>
      <c r="I6" s="250" t="inlineStr">
        <is>
          <t>R</t>
        </is>
      </c>
      <c r="J6" s="250" t="inlineStr">
        <is>
          <t>R</t>
        </is>
      </c>
      <c r="K6" s="250" t="inlineStr">
        <is>
          <t>R</t>
        </is>
      </c>
      <c r="L6" s="250" t="inlineStr">
        <is>
          <t>R</t>
        </is>
      </c>
      <c r="M6" s="250" t="inlineStr">
        <is>
          <t>R</t>
        </is>
      </c>
      <c r="N6" s="250" t="inlineStr">
        <is>
          <t>R</t>
        </is>
      </c>
      <c r="O6" s="250" t="inlineStr">
        <is>
          <t>R</t>
        </is>
      </c>
      <c r="P6" s="250" t="inlineStr">
        <is>
          <t>R</t>
        </is>
      </c>
      <c r="Q6" s="250" t="inlineStr">
        <is>
          <t>R</t>
        </is>
      </c>
      <c r="R6" s="250" t="inlineStr">
        <is>
          <t>R</t>
        </is>
      </c>
      <c r="S6" s="250" t="inlineStr">
        <is>
          <t>R</t>
        </is>
      </c>
      <c r="T6" s="250" t="inlineStr">
        <is>
          <t>R</t>
        </is>
      </c>
      <c r="U6" s="250" t="inlineStr">
        <is>
          <t>R</t>
        </is>
      </c>
      <c r="V6" s="250" t="inlineStr">
        <is>
          <t>R</t>
        </is>
      </c>
      <c r="W6" s="250" t="inlineStr">
        <is>
          <t>R</t>
        </is>
      </c>
      <c r="Z6" t="inlineStr">
        <is>
          <t>Room D1</t>
        </is>
      </c>
    </row>
    <row r="7" ht="16" customHeight="1" s="107">
      <c r="A7" s="251" t="n"/>
      <c r="B7" s="251" t="n"/>
      <c r="C7" s="252" t="inlineStr">
        <is>
          <t>D4</t>
        </is>
      </c>
      <c r="D7" s="250" t="inlineStr">
        <is>
          <t>R</t>
        </is>
      </c>
      <c r="E7" s="250" t="inlineStr">
        <is>
          <t>R</t>
        </is>
      </c>
      <c r="F7" s="250" t="inlineStr">
        <is>
          <t>R</t>
        </is>
      </c>
      <c r="G7" s="250" t="inlineStr">
        <is>
          <t>R</t>
        </is>
      </c>
      <c r="H7" s="250" t="inlineStr">
        <is>
          <t>R</t>
        </is>
      </c>
      <c r="I7" s="250" t="inlineStr">
        <is>
          <t>R</t>
        </is>
      </c>
      <c r="J7" s="250" t="inlineStr">
        <is>
          <t>R</t>
        </is>
      </c>
      <c r="K7" s="250" t="inlineStr">
        <is>
          <t>R</t>
        </is>
      </c>
      <c r="L7" s="250" t="inlineStr">
        <is>
          <t>R</t>
        </is>
      </c>
      <c r="M7" s="250" t="inlineStr">
        <is>
          <t>R</t>
        </is>
      </c>
      <c r="N7" s="250" t="inlineStr">
        <is>
          <t>R</t>
        </is>
      </c>
      <c r="O7" s="250" t="inlineStr">
        <is>
          <t>R</t>
        </is>
      </c>
      <c r="P7" s="250" t="inlineStr">
        <is>
          <t>R</t>
        </is>
      </c>
      <c r="Q7" s="250" t="inlineStr">
        <is>
          <t>R</t>
        </is>
      </c>
      <c r="R7" s="250" t="inlineStr">
        <is>
          <t>R</t>
        </is>
      </c>
      <c r="S7" s="250" t="inlineStr">
        <is>
          <t>R</t>
        </is>
      </c>
      <c r="T7" s="250" t="inlineStr">
        <is>
          <t>R</t>
        </is>
      </c>
      <c r="U7" s="250" t="inlineStr">
        <is>
          <t>R</t>
        </is>
      </c>
      <c r="V7" s="250" t="inlineStr">
        <is>
          <t>R</t>
        </is>
      </c>
      <c r="W7" s="250" t="inlineStr">
        <is>
          <t>R</t>
        </is>
      </c>
      <c r="Z7" t="inlineStr">
        <is>
          <t>Atrium</t>
        </is>
      </c>
    </row>
    <row r="8" ht="16" customHeight="1" s="107">
      <c r="A8" s="254" t="n"/>
      <c r="B8" s="254" t="n"/>
      <c r="C8" s="253" t="inlineStr">
        <is>
          <t>D5</t>
        </is>
      </c>
      <c r="D8" s="250" t="inlineStr">
        <is>
          <t>R</t>
        </is>
      </c>
      <c r="E8" s="250" t="inlineStr">
        <is>
          <t>R</t>
        </is>
      </c>
      <c r="F8" s="250" t="inlineStr">
        <is>
          <t>R</t>
        </is>
      </c>
      <c r="G8" s="250" t="inlineStr">
        <is>
          <t>R</t>
        </is>
      </c>
      <c r="H8" s="250" t="inlineStr">
        <is>
          <t>R</t>
        </is>
      </c>
      <c r="I8" s="250" t="inlineStr">
        <is>
          <t>R</t>
        </is>
      </c>
      <c r="J8" s="250" t="inlineStr">
        <is>
          <t>R</t>
        </is>
      </c>
      <c r="K8" s="250" t="inlineStr">
        <is>
          <t>R</t>
        </is>
      </c>
      <c r="L8" s="250" t="inlineStr">
        <is>
          <t>R</t>
        </is>
      </c>
      <c r="M8" s="250" t="inlineStr">
        <is>
          <t>R</t>
        </is>
      </c>
      <c r="N8" s="250" t="inlineStr">
        <is>
          <t>R</t>
        </is>
      </c>
      <c r="O8" s="250" t="inlineStr">
        <is>
          <t>R</t>
        </is>
      </c>
      <c r="P8" s="250" t="inlineStr">
        <is>
          <t>R</t>
        </is>
      </c>
      <c r="Q8" s="250" t="inlineStr">
        <is>
          <t>R</t>
        </is>
      </c>
      <c r="R8" s="250" t="inlineStr">
        <is>
          <t>R</t>
        </is>
      </c>
      <c r="S8" s="250" t="inlineStr">
        <is>
          <t>R</t>
        </is>
      </c>
      <c r="T8" s="250" t="inlineStr">
        <is>
          <t>R</t>
        </is>
      </c>
      <c r="U8" s="250" t="inlineStr">
        <is>
          <t>R</t>
        </is>
      </c>
      <c r="V8" s="250" t="inlineStr">
        <is>
          <t>R</t>
        </is>
      </c>
      <c r="W8" s="250" t="inlineStr">
        <is>
          <t>R</t>
        </is>
      </c>
      <c r="Z8" t="inlineStr">
        <is>
          <t>Room E1</t>
        </is>
      </c>
    </row>
    <row r="9" ht="16" customHeight="1" s="107">
      <c r="A9" s="247" t="inlineStr">
        <is>
          <t>Room A1</t>
        </is>
      </c>
      <c r="B9" s="248" t="n">
        <v>50</v>
      </c>
      <c r="C9" s="249" t="inlineStr">
        <is>
          <t>D1</t>
        </is>
      </c>
      <c r="D9" s="250" t="inlineStr">
        <is>
          <t>R</t>
        </is>
      </c>
      <c r="E9" s="250" t="inlineStr">
        <is>
          <t>R</t>
        </is>
      </c>
      <c r="F9" s="250" t="inlineStr">
        <is>
          <t>R</t>
        </is>
      </c>
      <c r="G9" s="250" t="inlineStr">
        <is>
          <t>R</t>
        </is>
      </c>
      <c r="H9" s="250" t="inlineStr">
        <is>
          <t>R</t>
        </is>
      </c>
      <c r="I9" s="250" t="inlineStr">
        <is>
          <t>R</t>
        </is>
      </c>
      <c r="J9" s="250" t="inlineStr">
        <is>
          <t>R</t>
        </is>
      </c>
      <c r="K9" s="250" t="inlineStr">
        <is>
          <t>R</t>
        </is>
      </c>
      <c r="L9" s="250" t="inlineStr">
        <is>
          <t>R</t>
        </is>
      </c>
      <c r="M9" s="250" t="inlineStr">
        <is>
          <t>R</t>
        </is>
      </c>
      <c r="N9" s="250" t="inlineStr">
        <is>
          <t>R</t>
        </is>
      </c>
      <c r="O9" s="250" t="inlineStr">
        <is>
          <t>R</t>
        </is>
      </c>
      <c r="P9" s="250" t="inlineStr">
        <is>
          <t>R</t>
        </is>
      </c>
      <c r="Q9" s="250" t="inlineStr">
        <is>
          <t>R</t>
        </is>
      </c>
      <c r="R9" s="250" t="inlineStr">
        <is>
          <t>R</t>
        </is>
      </c>
      <c r="S9" s="250" t="inlineStr">
        <is>
          <t>R</t>
        </is>
      </c>
      <c r="T9" s="250" t="inlineStr">
        <is>
          <t>R</t>
        </is>
      </c>
      <c r="U9" s="250" t="inlineStr">
        <is>
          <t>R</t>
        </is>
      </c>
      <c r="V9" s="250" t="inlineStr">
        <is>
          <t>R</t>
        </is>
      </c>
      <c r="W9" s="250" t="inlineStr">
        <is>
          <t>R</t>
        </is>
      </c>
      <c r="Z9" t="inlineStr">
        <is>
          <t>Room E2</t>
        </is>
      </c>
    </row>
    <row r="10" ht="16" customHeight="1" s="107">
      <c r="A10" s="251" t="n"/>
      <c r="B10" s="251" t="n"/>
      <c r="C10" s="252" t="inlineStr">
        <is>
          <t>D2</t>
        </is>
      </c>
      <c r="D10" s="250" t="inlineStr">
        <is>
          <t>R</t>
        </is>
      </c>
      <c r="E10" s="250" t="inlineStr">
        <is>
          <t>R</t>
        </is>
      </c>
      <c r="F10" s="250" t="inlineStr">
        <is>
          <t>R</t>
        </is>
      </c>
      <c r="G10" s="250" t="inlineStr">
        <is>
          <t>R</t>
        </is>
      </c>
      <c r="H10" s="250" t="inlineStr">
        <is>
          <t>R</t>
        </is>
      </c>
      <c r="I10" s="250" t="inlineStr">
        <is>
          <t>R</t>
        </is>
      </c>
      <c r="J10" s="250" t="inlineStr">
        <is>
          <t>R</t>
        </is>
      </c>
      <c r="K10" s="250" t="inlineStr">
        <is>
          <t>R</t>
        </is>
      </c>
      <c r="L10" s="250" t="inlineStr">
        <is>
          <t>R</t>
        </is>
      </c>
      <c r="M10" s="250" t="inlineStr">
        <is>
          <t>R</t>
        </is>
      </c>
      <c r="N10" s="250" t="inlineStr">
        <is>
          <t>R</t>
        </is>
      </c>
      <c r="O10" s="250" t="inlineStr">
        <is>
          <t>R</t>
        </is>
      </c>
      <c r="P10" s="250" t="inlineStr">
        <is>
          <t>R</t>
        </is>
      </c>
      <c r="Q10" s="250" t="inlineStr">
        <is>
          <t>R</t>
        </is>
      </c>
      <c r="R10" s="250" t="inlineStr">
        <is>
          <t>R</t>
        </is>
      </c>
      <c r="S10" s="250" t="inlineStr">
        <is>
          <t>R</t>
        </is>
      </c>
      <c r="T10" s="250" t="inlineStr">
        <is>
          <t>R</t>
        </is>
      </c>
      <c r="U10" s="250" t="inlineStr">
        <is>
          <t>R</t>
        </is>
      </c>
      <c r="V10" s="250" t="inlineStr">
        <is>
          <t>R</t>
        </is>
      </c>
      <c r="W10" s="250" t="inlineStr">
        <is>
          <t>R</t>
        </is>
      </c>
      <c r="Z10" t="inlineStr">
        <is>
          <t>Room F1</t>
        </is>
      </c>
    </row>
    <row r="11" ht="16" customHeight="1" s="107">
      <c r="A11" s="251" t="n"/>
      <c r="B11" s="251" t="n"/>
      <c r="C11" s="253" t="inlineStr">
        <is>
          <t>D3</t>
        </is>
      </c>
      <c r="D11" s="250" t="inlineStr">
        <is>
          <t>R</t>
        </is>
      </c>
      <c r="E11" s="250" t="inlineStr">
        <is>
          <t>R</t>
        </is>
      </c>
      <c r="F11" s="250" t="inlineStr">
        <is>
          <t>R</t>
        </is>
      </c>
      <c r="G11" s="250" t="inlineStr">
        <is>
          <t>R</t>
        </is>
      </c>
      <c r="H11" s="250" t="inlineStr">
        <is>
          <t>R</t>
        </is>
      </c>
      <c r="I11" s="250" t="inlineStr">
        <is>
          <t>R</t>
        </is>
      </c>
      <c r="J11" s="250" t="inlineStr">
        <is>
          <t>R</t>
        </is>
      </c>
      <c r="K11" s="250" t="inlineStr">
        <is>
          <t>R</t>
        </is>
      </c>
      <c r="L11" s="250" t="inlineStr">
        <is>
          <t>R</t>
        </is>
      </c>
      <c r="M11" s="250" t="inlineStr">
        <is>
          <t>R</t>
        </is>
      </c>
      <c r="N11" s="250" t="inlineStr">
        <is>
          <t>R</t>
        </is>
      </c>
      <c r="O11" s="250" t="inlineStr">
        <is>
          <t>R</t>
        </is>
      </c>
      <c r="P11" s="250" t="inlineStr">
        <is>
          <t>R</t>
        </is>
      </c>
      <c r="Q11" s="250" t="inlineStr">
        <is>
          <t>R</t>
        </is>
      </c>
      <c r="R11" s="250" t="inlineStr">
        <is>
          <t>R</t>
        </is>
      </c>
      <c r="S11" s="250" t="inlineStr">
        <is>
          <t>R</t>
        </is>
      </c>
      <c r="T11" s="250" t="inlineStr">
        <is>
          <t>R</t>
        </is>
      </c>
      <c r="U11" s="250" t="inlineStr">
        <is>
          <t>R</t>
        </is>
      </c>
      <c r="V11" s="250" t="inlineStr">
        <is>
          <t>R</t>
        </is>
      </c>
      <c r="W11" s="250" t="inlineStr">
        <is>
          <t>R</t>
        </is>
      </c>
      <c r="Z11" t="inlineStr">
        <is>
          <t>Boardroom G</t>
        </is>
      </c>
    </row>
    <row r="12" ht="16" customHeight="1" s="107">
      <c r="A12" s="251" t="n"/>
      <c r="B12" s="251" t="n"/>
      <c r="C12" s="252" t="inlineStr">
        <is>
          <t>D4</t>
        </is>
      </c>
      <c r="D12" s="250" t="inlineStr">
        <is>
          <t>R</t>
        </is>
      </c>
      <c r="E12" s="250" t="inlineStr">
        <is>
          <t>R</t>
        </is>
      </c>
      <c r="F12" s="250" t="inlineStr">
        <is>
          <t>R</t>
        </is>
      </c>
      <c r="G12" s="250" t="inlineStr">
        <is>
          <t>R</t>
        </is>
      </c>
      <c r="H12" s="250" t="inlineStr">
        <is>
          <t>R</t>
        </is>
      </c>
      <c r="I12" s="250" t="inlineStr">
        <is>
          <t>R</t>
        </is>
      </c>
      <c r="J12" s="250" t="inlineStr">
        <is>
          <t>R</t>
        </is>
      </c>
      <c r="K12" s="250" t="inlineStr">
        <is>
          <t>R</t>
        </is>
      </c>
      <c r="L12" s="250" t="inlineStr">
        <is>
          <t>R</t>
        </is>
      </c>
      <c r="M12" s="250" t="inlineStr">
        <is>
          <t>R</t>
        </is>
      </c>
      <c r="N12" s="250" t="inlineStr">
        <is>
          <t>R</t>
        </is>
      </c>
      <c r="O12" s="250" t="inlineStr">
        <is>
          <t>R</t>
        </is>
      </c>
      <c r="P12" s="250" t="inlineStr">
        <is>
          <t>R</t>
        </is>
      </c>
      <c r="Q12" s="250" t="inlineStr">
        <is>
          <t>R</t>
        </is>
      </c>
      <c r="R12" s="250" t="inlineStr">
        <is>
          <t>R</t>
        </is>
      </c>
      <c r="S12" s="250" t="inlineStr">
        <is>
          <t>R</t>
        </is>
      </c>
      <c r="T12" s="250" t="inlineStr">
        <is>
          <t>R</t>
        </is>
      </c>
      <c r="U12" s="250" t="inlineStr">
        <is>
          <t>R</t>
        </is>
      </c>
      <c r="V12" s="250" t="inlineStr">
        <is>
          <t>R</t>
        </is>
      </c>
      <c r="W12" s="250" t="inlineStr">
        <is>
          <t>R</t>
        </is>
      </c>
      <c r="Z12" t="inlineStr">
        <is>
          <t>Terrace</t>
        </is>
      </c>
    </row>
    <row r="13" ht="16" customHeight="1" s="107">
      <c r="A13" s="254" t="n"/>
      <c r="B13" s="254" t="n"/>
      <c r="C13" s="253" t="inlineStr">
        <is>
          <t>D5</t>
        </is>
      </c>
      <c r="D13" s="250" t="inlineStr">
        <is>
          <t>R</t>
        </is>
      </c>
      <c r="E13" s="250" t="inlineStr">
        <is>
          <t>R</t>
        </is>
      </c>
      <c r="F13" s="250" t="inlineStr">
        <is>
          <t>R</t>
        </is>
      </c>
      <c r="G13" s="250" t="inlineStr">
        <is>
          <t>R</t>
        </is>
      </c>
      <c r="H13" s="250" t="inlineStr">
        <is>
          <t>R</t>
        </is>
      </c>
      <c r="I13" s="250" t="inlineStr">
        <is>
          <t>R</t>
        </is>
      </c>
      <c r="J13" s="250" t="inlineStr">
        <is>
          <t>R</t>
        </is>
      </c>
      <c r="K13" s="250" t="inlineStr">
        <is>
          <t>R</t>
        </is>
      </c>
      <c r="L13" s="250" t="inlineStr">
        <is>
          <t>R</t>
        </is>
      </c>
      <c r="M13" s="250" t="inlineStr">
        <is>
          <t>R</t>
        </is>
      </c>
      <c r="N13" s="250" t="inlineStr">
        <is>
          <t>R</t>
        </is>
      </c>
      <c r="O13" s="250" t="inlineStr">
        <is>
          <t>R</t>
        </is>
      </c>
      <c r="P13" s="250" t="inlineStr">
        <is>
          <t>R</t>
        </is>
      </c>
      <c r="Q13" s="250" t="inlineStr">
        <is>
          <t>R</t>
        </is>
      </c>
      <c r="R13" s="250" t="inlineStr">
        <is>
          <t>R</t>
        </is>
      </c>
      <c r="S13" s="250" t="inlineStr">
        <is>
          <t>R</t>
        </is>
      </c>
      <c r="T13" s="250" t="inlineStr">
        <is>
          <t>R</t>
        </is>
      </c>
      <c r="U13" s="250" t="inlineStr">
        <is>
          <t>R</t>
        </is>
      </c>
      <c r="V13" s="250" t="inlineStr">
        <is>
          <t>R</t>
        </is>
      </c>
      <c r="W13" s="250" t="inlineStr">
        <is>
          <t>R</t>
        </is>
      </c>
    </row>
    <row r="14" ht="16" customHeight="1" s="107">
      <c r="A14" s="247" t="inlineStr">
        <is>
          <t>Room B1</t>
        </is>
      </c>
      <c r="B14" s="248" t="n">
        <v>55</v>
      </c>
      <c r="C14" s="249" t="inlineStr">
        <is>
          <t>D1</t>
        </is>
      </c>
      <c r="D14" s="250" t="inlineStr">
        <is>
          <t>R</t>
        </is>
      </c>
      <c r="E14" s="250" t="inlineStr">
        <is>
          <t>R</t>
        </is>
      </c>
      <c r="F14" s="250" t="inlineStr">
        <is>
          <t>R</t>
        </is>
      </c>
      <c r="G14" s="250" t="inlineStr">
        <is>
          <t>R</t>
        </is>
      </c>
      <c r="H14" s="250" t="inlineStr">
        <is>
          <t>R</t>
        </is>
      </c>
      <c r="I14" s="250" t="inlineStr">
        <is>
          <t>R</t>
        </is>
      </c>
      <c r="J14" s="250" t="inlineStr">
        <is>
          <t>R</t>
        </is>
      </c>
      <c r="K14" s="250" t="inlineStr">
        <is>
          <t>R</t>
        </is>
      </c>
      <c r="L14" s="250" t="inlineStr">
        <is>
          <t>R</t>
        </is>
      </c>
      <c r="M14" s="250" t="inlineStr">
        <is>
          <t>R</t>
        </is>
      </c>
      <c r="N14" s="250" t="inlineStr">
        <is>
          <t>R</t>
        </is>
      </c>
      <c r="O14" s="250" t="inlineStr">
        <is>
          <t>R</t>
        </is>
      </c>
      <c r="P14" s="250" t="inlineStr">
        <is>
          <t>R</t>
        </is>
      </c>
      <c r="Q14" s="250" t="inlineStr">
        <is>
          <t>R</t>
        </is>
      </c>
      <c r="R14" s="250" t="inlineStr">
        <is>
          <t>R</t>
        </is>
      </c>
      <c r="S14" s="250" t="inlineStr">
        <is>
          <t>R</t>
        </is>
      </c>
      <c r="T14" s="250" t="inlineStr">
        <is>
          <t>R</t>
        </is>
      </c>
      <c r="U14" s="250" t="inlineStr">
        <is>
          <t>R</t>
        </is>
      </c>
      <c r="V14" s="250" t="inlineStr">
        <is>
          <t>R</t>
        </is>
      </c>
      <c r="W14" s="250" t="inlineStr">
        <is>
          <t>R</t>
        </is>
      </c>
    </row>
    <row r="15" ht="16" customHeight="1" s="107">
      <c r="A15" s="251" t="n"/>
      <c r="B15" s="251" t="n"/>
      <c r="C15" s="252" t="inlineStr">
        <is>
          <t>D2</t>
        </is>
      </c>
      <c r="D15" s="250" t="inlineStr">
        <is>
          <t>R</t>
        </is>
      </c>
      <c r="E15" s="250" t="inlineStr">
        <is>
          <t>R</t>
        </is>
      </c>
      <c r="F15" s="250" t="inlineStr">
        <is>
          <t>R</t>
        </is>
      </c>
      <c r="G15" s="250" t="inlineStr">
        <is>
          <t>R</t>
        </is>
      </c>
      <c r="H15" s="250" t="inlineStr">
        <is>
          <t>R</t>
        </is>
      </c>
      <c r="I15" s="250" t="inlineStr">
        <is>
          <t>R</t>
        </is>
      </c>
      <c r="J15" s="250" t="inlineStr">
        <is>
          <t>R</t>
        </is>
      </c>
      <c r="K15" s="250" t="inlineStr">
        <is>
          <t>R</t>
        </is>
      </c>
      <c r="L15" s="250" t="inlineStr">
        <is>
          <t>R</t>
        </is>
      </c>
      <c r="M15" s="250" t="inlineStr">
        <is>
          <t>R</t>
        </is>
      </c>
      <c r="N15" s="250" t="inlineStr">
        <is>
          <t>R</t>
        </is>
      </c>
      <c r="O15" s="250" t="inlineStr">
        <is>
          <t>R</t>
        </is>
      </c>
      <c r="P15" s="250" t="inlineStr">
        <is>
          <t>R</t>
        </is>
      </c>
      <c r="Q15" s="250" t="inlineStr">
        <is>
          <t>R</t>
        </is>
      </c>
      <c r="R15" s="250" t="inlineStr">
        <is>
          <t>R</t>
        </is>
      </c>
      <c r="S15" s="250" t="inlineStr">
        <is>
          <t>R</t>
        </is>
      </c>
      <c r="T15" s="250" t="inlineStr">
        <is>
          <t>R</t>
        </is>
      </c>
      <c r="U15" s="250" t="inlineStr">
        <is>
          <t>R</t>
        </is>
      </c>
      <c r="V15" s="250" t="inlineStr">
        <is>
          <t>R</t>
        </is>
      </c>
      <c r="W15" s="250" t="inlineStr">
        <is>
          <t>R</t>
        </is>
      </c>
    </row>
    <row r="16" ht="16" customHeight="1" s="107">
      <c r="A16" s="251" t="n"/>
      <c r="B16" s="251" t="n"/>
      <c r="C16" s="253" t="inlineStr">
        <is>
          <t>D3</t>
        </is>
      </c>
      <c r="D16" s="250" t="inlineStr">
        <is>
          <t>R</t>
        </is>
      </c>
      <c r="E16" s="250" t="inlineStr">
        <is>
          <t>R</t>
        </is>
      </c>
      <c r="F16" s="250" t="inlineStr">
        <is>
          <t>R</t>
        </is>
      </c>
      <c r="G16" s="250" t="inlineStr">
        <is>
          <t>R</t>
        </is>
      </c>
      <c r="H16" s="250" t="inlineStr">
        <is>
          <t>R</t>
        </is>
      </c>
      <c r="I16" s="250" t="inlineStr">
        <is>
          <t>R</t>
        </is>
      </c>
      <c r="J16" s="250" t="inlineStr">
        <is>
          <t>R</t>
        </is>
      </c>
      <c r="K16" s="250" t="inlineStr">
        <is>
          <t>R</t>
        </is>
      </c>
      <c r="L16" s="250" t="inlineStr">
        <is>
          <t>R</t>
        </is>
      </c>
      <c r="M16" s="250" t="inlineStr">
        <is>
          <t>R</t>
        </is>
      </c>
      <c r="N16" s="250" t="inlineStr">
        <is>
          <t>R</t>
        </is>
      </c>
      <c r="O16" s="250" t="inlineStr">
        <is>
          <t>R</t>
        </is>
      </c>
      <c r="P16" s="250" t="inlineStr">
        <is>
          <t>R</t>
        </is>
      </c>
      <c r="Q16" s="250" t="inlineStr">
        <is>
          <t>R</t>
        </is>
      </c>
      <c r="R16" s="250" t="inlineStr">
        <is>
          <t>R</t>
        </is>
      </c>
      <c r="S16" s="250" t="inlineStr">
        <is>
          <t>R</t>
        </is>
      </c>
      <c r="T16" s="250" t="inlineStr">
        <is>
          <t>R</t>
        </is>
      </c>
      <c r="U16" s="250" t="inlineStr">
        <is>
          <t>R</t>
        </is>
      </c>
      <c r="V16" s="250" t="inlineStr">
        <is>
          <t>R</t>
        </is>
      </c>
      <c r="W16" s="250" t="inlineStr">
        <is>
          <t>R</t>
        </is>
      </c>
    </row>
    <row r="17" ht="16" customHeight="1" s="107">
      <c r="A17" s="251" t="n"/>
      <c r="B17" s="251" t="n"/>
      <c r="C17" s="252" t="inlineStr">
        <is>
          <t>D4</t>
        </is>
      </c>
      <c r="D17" s="250" t="inlineStr">
        <is>
          <t>R</t>
        </is>
      </c>
      <c r="E17" s="250" t="inlineStr">
        <is>
          <t>R</t>
        </is>
      </c>
      <c r="F17" s="250" t="inlineStr">
        <is>
          <t>R</t>
        </is>
      </c>
      <c r="G17" s="250" t="inlineStr">
        <is>
          <t>R</t>
        </is>
      </c>
      <c r="H17" s="250" t="inlineStr">
        <is>
          <t>R</t>
        </is>
      </c>
      <c r="I17" s="250" t="inlineStr">
        <is>
          <t>R</t>
        </is>
      </c>
      <c r="J17" s="250" t="inlineStr">
        <is>
          <t>R</t>
        </is>
      </c>
      <c r="K17" s="250" t="inlineStr">
        <is>
          <t>R</t>
        </is>
      </c>
      <c r="L17" s="250" t="inlineStr">
        <is>
          <t>R</t>
        </is>
      </c>
      <c r="M17" s="250" t="inlineStr">
        <is>
          <t>R</t>
        </is>
      </c>
      <c r="N17" s="250" t="inlineStr">
        <is>
          <t>R</t>
        </is>
      </c>
      <c r="O17" s="250" t="inlineStr">
        <is>
          <t>R</t>
        </is>
      </c>
      <c r="P17" s="250" t="inlineStr">
        <is>
          <t>R</t>
        </is>
      </c>
      <c r="Q17" s="250" t="inlineStr">
        <is>
          <t>R</t>
        </is>
      </c>
      <c r="R17" s="250" t="inlineStr">
        <is>
          <t>R</t>
        </is>
      </c>
      <c r="S17" s="250" t="inlineStr">
        <is>
          <t>R</t>
        </is>
      </c>
      <c r="T17" s="250" t="inlineStr">
        <is>
          <t>R</t>
        </is>
      </c>
      <c r="U17" s="250" t="inlineStr">
        <is>
          <t>R</t>
        </is>
      </c>
      <c r="V17" s="250" t="inlineStr">
        <is>
          <t>R</t>
        </is>
      </c>
      <c r="W17" s="250" t="inlineStr">
        <is>
          <t>R</t>
        </is>
      </c>
    </row>
    <row r="18" ht="16" customHeight="1" s="107">
      <c r="A18" s="254" t="n"/>
      <c r="B18" s="254" t="n"/>
      <c r="C18" s="253" t="inlineStr">
        <is>
          <t>D5</t>
        </is>
      </c>
      <c r="D18" s="250" t="inlineStr">
        <is>
          <t>R</t>
        </is>
      </c>
      <c r="E18" s="250" t="inlineStr">
        <is>
          <t>R</t>
        </is>
      </c>
      <c r="F18" s="250" t="inlineStr">
        <is>
          <t>R</t>
        </is>
      </c>
      <c r="G18" s="250" t="inlineStr">
        <is>
          <t>R</t>
        </is>
      </c>
      <c r="H18" s="250" t="inlineStr">
        <is>
          <t>R</t>
        </is>
      </c>
      <c r="I18" s="250" t="inlineStr">
        <is>
          <t>R</t>
        </is>
      </c>
      <c r="J18" s="250" t="inlineStr">
        <is>
          <t>R</t>
        </is>
      </c>
      <c r="K18" s="250" t="inlineStr">
        <is>
          <t>R</t>
        </is>
      </c>
      <c r="L18" s="250" t="inlineStr">
        <is>
          <t>R</t>
        </is>
      </c>
      <c r="M18" s="250" t="inlineStr">
        <is>
          <t>R</t>
        </is>
      </c>
      <c r="N18" s="250" t="inlineStr">
        <is>
          <t>R</t>
        </is>
      </c>
      <c r="O18" s="250" t="inlineStr">
        <is>
          <t>R</t>
        </is>
      </c>
      <c r="P18" s="250" t="inlineStr">
        <is>
          <t>R</t>
        </is>
      </c>
      <c r="Q18" s="250" t="inlineStr">
        <is>
          <t>R</t>
        </is>
      </c>
      <c r="R18" s="250" t="inlineStr">
        <is>
          <t>R</t>
        </is>
      </c>
      <c r="S18" s="250" t="inlineStr">
        <is>
          <t>R</t>
        </is>
      </c>
      <c r="T18" s="250" t="inlineStr">
        <is>
          <t>R</t>
        </is>
      </c>
      <c r="U18" s="250" t="inlineStr">
        <is>
          <t>R</t>
        </is>
      </c>
      <c r="V18" s="250" t="inlineStr">
        <is>
          <t>R</t>
        </is>
      </c>
      <c r="W18" s="250" t="inlineStr">
        <is>
          <t>R</t>
        </is>
      </c>
    </row>
    <row r="19" ht="16" customHeight="1" s="107">
      <c r="A19" s="247" t="inlineStr">
        <is>
          <t>Room C1</t>
        </is>
      </c>
      <c r="B19" s="248" t="n">
        <v>45</v>
      </c>
      <c r="C19" s="249" t="inlineStr">
        <is>
          <t>D1</t>
        </is>
      </c>
      <c r="D19" s="250" t="inlineStr">
        <is>
          <t>R</t>
        </is>
      </c>
      <c r="E19" s="250" t="inlineStr">
        <is>
          <t>R</t>
        </is>
      </c>
      <c r="F19" s="250" t="inlineStr">
        <is>
          <t>R</t>
        </is>
      </c>
      <c r="G19" s="250" t="inlineStr">
        <is>
          <t>R</t>
        </is>
      </c>
      <c r="H19" s="250" t="inlineStr">
        <is>
          <t>R</t>
        </is>
      </c>
      <c r="I19" s="250" t="inlineStr">
        <is>
          <t>R</t>
        </is>
      </c>
      <c r="J19" s="250" t="inlineStr">
        <is>
          <t>R</t>
        </is>
      </c>
      <c r="K19" s="250" t="inlineStr">
        <is>
          <t>R</t>
        </is>
      </c>
      <c r="L19" s="250" t="inlineStr">
        <is>
          <t>R</t>
        </is>
      </c>
      <c r="M19" s="250" t="inlineStr">
        <is>
          <t>R</t>
        </is>
      </c>
      <c r="N19" s="250" t="inlineStr">
        <is>
          <t>R</t>
        </is>
      </c>
      <c r="O19" s="250" t="inlineStr">
        <is>
          <t>R</t>
        </is>
      </c>
      <c r="P19" s="250" t="inlineStr">
        <is>
          <t>R</t>
        </is>
      </c>
      <c r="Q19" s="250" t="inlineStr">
        <is>
          <t>R</t>
        </is>
      </c>
      <c r="R19" s="250" t="inlineStr">
        <is>
          <t>R</t>
        </is>
      </c>
      <c r="S19" s="250" t="inlineStr">
        <is>
          <t>R</t>
        </is>
      </c>
      <c r="T19" s="250" t="inlineStr">
        <is>
          <t>R</t>
        </is>
      </c>
      <c r="U19" s="250" t="inlineStr">
        <is>
          <t>R</t>
        </is>
      </c>
      <c r="V19" s="250" t="inlineStr">
        <is>
          <t>R</t>
        </is>
      </c>
      <c r="W19" s="250" t="inlineStr">
        <is>
          <t>R</t>
        </is>
      </c>
    </row>
    <row r="20" ht="16" customHeight="1" s="107">
      <c r="A20" s="251" t="n"/>
      <c r="B20" s="251" t="n"/>
      <c r="C20" s="252" t="inlineStr">
        <is>
          <t>D2</t>
        </is>
      </c>
      <c r="D20" s="250" t="inlineStr">
        <is>
          <t>R</t>
        </is>
      </c>
      <c r="E20" s="250" t="inlineStr">
        <is>
          <t>R</t>
        </is>
      </c>
      <c r="F20" s="250" t="inlineStr">
        <is>
          <t>R</t>
        </is>
      </c>
      <c r="G20" s="250" t="inlineStr">
        <is>
          <t>R</t>
        </is>
      </c>
      <c r="H20" s="250" t="inlineStr">
        <is>
          <t>R</t>
        </is>
      </c>
      <c r="I20" s="250" t="inlineStr">
        <is>
          <t>R</t>
        </is>
      </c>
      <c r="J20" s="250" t="inlineStr">
        <is>
          <t>R</t>
        </is>
      </c>
      <c r="K20" s="250" t="inlineStr">
        <is>
          <t>R</t>
        </is>
      </c>
      <c r="L20" s="250" t="inlineStr">
        <is>
          <t>R</t>
        </is>
      </c>
      <c r="M20" s="250" t="inlineStr">
        <is>
          <t>R</t>
        </is>
      </c>
      <c r="N20" s="250" t="inlineStr">
        <is>
          <t>R</t>
        </is>
      </c>
      <c r="O20" s="250" t="inlineStr">
        <is>
          <t>R</t>
        </is>
      </c>
      <c r="P20" s="250" t="inlineStr">
        <is>
          <t>R</t>
        </is>
      </c>
      <c r="Q20" s="250" t="inlineStr">
        <is>
          <t>R</t>
        </is>
      </c>
      <c r="R20" s="250" t="inlineStr">
        <is>
          <t>R</t>
        </is>
      </c>
      <c r="S20" s="250" t="inlineStr">
        <is>
          <t>R</t>
        </is>
      </c>
      <c r="T20" s="250" t="inlineStr">
        <is>
          <t>R</t>
        </is>
      </c>
      <c r="U20" s="250" t="inlineStr">
        <is>
          <t>R</t>
        </is>
      </c>
      <c r="V20" s="250" t="inlineStr">
        <is>
          <t>R</t>
        </is>
      </c>
      <c r="W20" s="250" t="inlineStr">
        <is>
          <t>R</t>
        </is>
      </c>
    </row>
    <row r="21" ht="16" customHeight="1" s="107">
      <c r="A21" s="251" t="n"/>
      <c r="B21" s="251" t="n"/>
      <c r="C21" s="253" t="inlineStr">
        <is>
          <t>D3</t>
        </is>
      </c>
      <c r="D21" s="250" t="inlineStr">
        <is>
          <t>R</t>
        </is>
      </c>
      <c r="E21" s="250" t="inlineStr">
        <is>
          <t>R</t>
        </is>
      </c>
      <c r="F21" s="250" t="inlineStr">
        <is>
          <t>R</t>
        </is>
      </c>
      <c r="G21" s="250" t="inlineStr">
        <is>
          <t>R</t>
        </is>
      </c>
      <c r="H21" s="250" t="inlineStr">
        <is>
          <t>R</t>
        </is>
      </c>
      <c r="I21" s="250" t="inlineStr">
        <is>
          <t>R</t>
        </is>
      </c>
      <c r="J21" s="250" t="inlineStr">
        <is>
          <t>R</t>
        </is>
      </c>
      <c r="K21" s="250" t="inlineStr">
        <is>
          <t>R</t>
        </is>
      </c>
      <c r="L21" s="250" t="inlineStr">
        <is>
          <t>R</t>
        </is>
      </c>
      <c r="M21" s="250" t="inlineStr">
        <is>
          <t>R</t>
        </is>
      </c>
      <c r="N21" s="250" t="inlineStr">
        <is>
          <t>R</t>
        </is>
      </c>
      <c r="O21" s="250" t="inlineStr">
        <is>
          <t>R</t>
        </is>
      </c>
      <c r="P21" s="250" t="inlineStr">
        <is>
          <t>R</t>
        </is>
      </c>
      <c r="Q21" s="250" t="inlineStr">
        <is>
          <t>R</t>
        </is>
      </c>
      <c r="R21" s="250" t="inlineStr">
        <is>
          <t>R</t>
        </is>
      </c>
      <c r="S21" s="250" t="inlineStr">
        <is>
          <t>R</t>
        </is>
      </c>
      <c r="T21" s="250" t="inlineStr">
        <is>
          <t>R</t>
        </is>
      </c>
      <c r="U21" s="250" t="inlineStr">
        <is>
          <t>R</t>
        </is>
      </c>
      <c r="V21" s="250" t="inlineStr">
        <is>
          <t>R</t>
        </is>
      </c>
      <c r="W21" s="250" t="inlineStr">
        <is>
          <t>R</t>
        </is>
      </c>
    </row>
    <row r="22" ht="16" customHeight="1" s="107">
      <c r="A22" s="251" t="n"/>
      <c r="B22" s="251" t="n"/>
      <c r="C22" s="252" t="inlineStr">
        <is>
          <t>D4</t>
        </is>
      </c>
      <c r="D22" s="250" t="inlineStr">
        <is>
          <t>R</t>
        </is>
      </c>
      <c r="E22" s="250" t="inlineStr">
        <is>
          <t>R</t>
        </is>
      </c>
      <c r="F22" s="250" t="inlineStr">
        <is>
          <t>R</t>
        </is>
      </c>
      <c r="G22" s="250" t="inlineStr">
        <is>
          <t>R</t>
        </is>
      </c>
      <c r="H22" s="250" t="inlineStr">
        <is>
          <t>R</t>
        </is>
      </c>
      <c r="I22" s="250" t="inlineStr">
        <is>
          <t>R</t>
        </is>
      </c>
      <c r="J22" s="250" t="inlineStr">
        <is>
          <t>R</t>
        </is>
      </c>
      <c r="K22" s="250" t="inlineStr">
        <is>
          <t>R</t>
        </is>
      </c>
      <c r="L22" s="250" t="inlineStr">
        <is>
          <t>R</t>
        </is>
      </c>
      <c r="M22" s="250" t="inlineStr">
        <is>
          <t>R</t>
        </is>
      </c>
      <c r="N22" s="250" t="inlineStr">
        <is>
          <t>R</t>
        </is>
      </c>
      <c r="O22" s="250" t="inlineStr">
        <is>
          <t>R</t>
        </is>
      </c>
      <c r="P22" s="250" t="inlineStr">
        <is>
          <t>R</t>
        </is>
      </c>
      <c r="Q22" s="250" t="inlineStr">
        <is>
          <t>R</t>
        </is>
      </c>
      <c r="R22" s="250" t="inlineStr">
        <is>
          <t>R</t>
        </is>
      </c>
      <c r="S22" s="250" t="inlineStr">
        <is>
          <t>R</t>
        </is>
      </c>
      <c r="T22" s="250" t="inlineStr">
        <is>
          <t>R</t>
        </is>
      </c>
      <c r="U22" s="250" t="inlineStr">
        <is>
          <t>R</t>
        </is>
      </c>
      <c r="V22" s="250" t="inlineStr">
        <is>
          <t>R</t>
        </is>
      </c>
      <c r="W22" s="250" t="inlineStr">
        <is>
          <t>R</t>
        </is>
      </c>
    </row>
    <row r="23" ht="16" customHeight="1" s="107">
      <c r="A23" s="254" t="n"/>
      <c r="B23" s="254" t="n"/>
      <c r="C23" s="253" t="inlineStr">
        <is>
          <t>D5</t>
        </is>
      </c>
      <c r="D23" s="250" t="inlineStr">
        <is>
          <t>R</t>
        </is>
      </c>
      <c r="E23" s="250" t="inlineStr">
        <is>
          <t>R</t>
        </is>
      </c>
      <c r="F23" s="250" t="inlineStr">
        <is>
          <t>R</t>
        </is>
      </c>
      <c r="G23" s="250" t="inlineStr">
        <is>
          <t>R</t>
        </is>
      </c>
      <c r="H23" s="250" t="inlineStr">
        <is>
          <t>R</t>
        </is>
      </c>
      <c r="I23" s="250" t="inlineStr">
        <is>
          <t>R</t>
        </is>
      </c>
      <c r="J23" s="250" t="inlineStr">
        <is>
          <t>R</t>
        </is>
      </c>
      <c r="K23" s="250" t="inlineStr">
        <is>
          <t>R</t>
        </is>
      </c>
      <c r="L23" s="250" t="inlineStr">
        <is>
          <t>R</t>
        </is>
      </c>
      <c r="M23" s="250" t="inlineStr">
        <is>
          <t>R</t>
        </is>
      </c>
      <c r="N23" s="250" t="inlineStr">
        <is>
          <t>R</t>
        </is>
      </c>
      <c r="O23" s="250" t="inlineStr">
        <is>
          <t>R</t>
        </is>
      </c>
      <c r="P23" s="250" t="inlineStr">
        <is>
          <t>R</t>
        </is>
      </c>
      <c r="Q23" s="250" t="inlineStr">
        <is>
          <t>R</t>
        </is>
      </c>
      <c r="R23" s="250" t="inlineStr">
        <is>
          <t>R</t>
        </is>
      </c>
      <c r="S23" s="250" t="inlineStr">
        <is>
          <t>R</t>
        </is>
      </c>
      <c r="T23" s="250" t="inlineStr">
        <is>
          <t>R</t>
        </is>
      </c>
      <c r="U23" s="250" t="inlineStr">
        <is>
          <t>R</t>
        </is>
      </c>
      <c r="V23" s="250" t="inlineStr">
        <is>
          <t>R</t>
        </is>
      </c>
      <c r="W23" s="250" t="inlineStr">
        <is>
          <t>R</t>
        </is>
      </c>
    </row>
    <row r="24" ht="16" customHeight="1" s="107">
      <c r="A24" s="247" t="inlineStr">
        <is>
          <t>Room D1</t>
        </is>
      </c>
      <c r="B24" s="248" t="n">
        <v>40</v>
      </c>
      <c r="C24" s="249" t="inlineStr">
        <is>
          <t>D1</t>
        </is>
      </c>
      <c r="D24" s="250" t="inlineStr">
        <is>
          <t>R</t>
        </is>
      </c>
      <c r="E24" s="250" t="inlineStr">
        <is>
          <t>R</t>
        </is>
      </c>
      <c r="F24" s="250" t="inlineStr">
        <is>
          <t>R</t>
        </is>
      </c>
      <c r="G24" s="250" t="inlineStr">
        <is>
          <t>R</t>
        </is>
      </c>
      <c r="H24" s="250" t="inlineStr">
        <is>
          <t>R</t>
        </is>
      </c>
      <c r="I24" s="250" t="inlineStr">
        <is>
          <t>R</t>
        </is>
      </c>
      <c r="J24" s="250" t="inlineStr">
        <is>
          <t>R</t>
        </is>
      </c>
      <c r="K24" s="250" t="inlineStr">
        <is>
          <t>R</t>
        </is>
      </c>
      <c r="L24" s="250" t="inlineStr">
        <is>
          <t>R</t>
        </is>
      </c>
      <c r="M24" s="250" t="inlineStr">
        <is>
          <t>R</t>
        </is>
      </c>
      <c r="N24" s="250" t="inlineStr">
        <is>
          <t>R</t>
        </is>
      </c>
      <c r="O24" s="250" t="inlineStr">
        <is>
          <t>R</t>
        </is>
      </c>
      <c r="P24" s="250" t="inlineStr">
        <is>
          <t>R</t>
        </is>
      </c>
      <c r="Q24" s="250" t="inlineStr">
        <is>
          <t>R</t>
        </is>
      </c>
      <c r="R24" s="250" t="inlineStr">
        <is>
          <t>R</t>
        </is>
      </c>
      <c r="S24" s="250" t="inlineStr">
        <is>
          <t>R</t>
        </is>
      </c>
      <c r="T24" s="250" t="inlineStr">
        <is>
          <t>R</t>
        </is>
      </c>
      <c r="U24" s="250" t="inlineStr">
        <is>
          <t>R</t>
        </is>
      </c>
      <c r="V24" s="250" t="inlineStr">
        <is>
          <t>R</t>
        </is>
      </c>
      <c r="W24" s="250" t="inlineStr">
        <is>
          <t>R</t>
        </is>
      </c>
    </row>
    <row r="25" ht="16" customHeight="1" s="107">
      <c r="A25" s="251" t="n"/>
      <c r="B25" s="251" t="n"/>
      <c r="C25" s="252" t="inlineStr">
        <is>
          <t>D2</t>
        </is>
      </c>
      <c r="D25" s="250" t="inlineStr">
        <is>
          <t>R</t>
        </is>
      </c>
      <c r="E25" s="250" t="inlineStr">
        <is>
          <t>R</t>
        </is>
      </c>
      <c r="F25" s="250" t="inlineStr">
        <is>
          <t>R</t>
        </is>
      </c>
      <c r="G25" s="250" t="inlineStr">
        <is>
          <t>R</t>
        </is>
      </c>
      <c r="H25" s="250" t="inlineStr">
        <is>
          <t>R</t>
        </is>
      </c>
      <c r="I25" s="250" t="inlineStr">
        <is>
          <t>R</t>
        </is>
      </c>
      <c r="J25" s="250" t="inlineStr">
        <is>
          <t>R</t>
        </is>
      </c>
      <c r="K25" s="250" t="inlineStr">
        <is>
          <t>R</t>
        </is>
      </c>
      <c r="L25" s="250" t="inlineStr">
        <is>
          <t>R</t>
        </is>
      </c>
      <c r="M25" s="250" t="inlineStr">
        <is>
          <t>R</t>
        </is>
      </c>
      <c r="N25" s="250" t="inlineStr">
        <is>
          <t>R</t>
        </is>
      </c>
      <c r="O25" s="250" t="inlineStr">
        <is>
          <t>R</t>
        </is>
      </c>
      <c r="P25" s="250" t="inlineStr">
        <is>
          <t>R</t>
        </is>
      </c>
      <c r="Q25" s="250" t="inlineStr">
        <is>
          <t>R</t>
        </is>
      </c>
      <c r="R25" s="250" t="inlineStr">
        <is>
          <t>R</t>
        </is>
      </c>
      <c r="S25" s="250" t="inlineStr">
        <is>
          <t>R</t>
        </is>
      </c>
      <c r="T25" s="250" t="inlineStr">
        <is>
          <t>R</t>
        </is>
      </c>
      <c r="U25" s="250" t="inlineStr">
        <is>
          <t>R</t>
        </is>
      </c>
      <c r="V25" s="250" t="inlineStr">
        <is>
          <t>R</t>
        </is>
      </c>
      <c r="W25" s="250" t="inlineStr">
        <is>
          <t>R</t>
        </is>
      </c>
    </row>
    <row r="26" ht="16" customHeight="1" s="107">
      <c r="A26" s="251" t="n"/>
      <c r="B26" s="251" t="n"/>
      <c r="C26" s="253" t="inlineStr">
        <is>
          <t>D3</t>
        </is>
      </c>
      <c r="D26" s="250" t="inlineStr">
        <is>
          <t>R</t>
        </is>
      </c>
      <c r="E26" s="250" t="inlineStr">
        <is>
          <t>R</t>
        </is>
      </c>
      <c r="F26" s="250" t="inlineStr">
        <is>
          <t>R</t>
        </is>
      </c>
      <c r="G26" s="250" t="inlineStr">
        <is>
          <t>R</t>
        </is>
      </c>
      <c r="H26" s="250" t="inlineStr">
        <is>
          <t>R</t>
        </is>
      </c>
      <c r="I26" s="250" t="inlineStr">
        <is>
          <t>R</t>
        </is>
      </c>
      <c r="J26" s="250" t="inlineStr">
        <is>
          <t>R</t>
        </is>
      </c>
      <c r="K26" s="250" t="inlineStr">
        <is>
          <t>R</t>
        </is>
      </c>
      <c r="L26" s="250" t="inlineStr">
        <is>
          <t>R</t>
        </is>
      </c>
      <c r="M26" s="250" t="inlineStr">
        <is>
          <t>R</t>
        </is>
      </c>
      <c r="N26" s="250" t="inlineStr">
        <is>
          <t>R</t>
        </is>
      </c>
      <c r="O26" s="250" t="inlineStr">
        <is>
          <t>R</t>
        </is>
      </c>
      <c r="P26" s="250" t="inlineStr">
        <is>
          <t>R</t>
        </is>
      </c>
      <c r="Q26" s="250" t="inlineStr">
        <is>
          <t>R</t>
        </is>
      </c>
      <c r="R26" s="250" t="inlineStr">
        <is>
          <t>R</t>
        </is>
      </c>
      <c r="S26" s="250" t="inlineStr">
        <is>
          <t>R</t>
        </is>
      </c>
      <c r="T26" s="250" t="inlineStr">
        <is>
          <t>R</t>
        </is>
      </c>
      <c r="U26" s="250" t="inlineStr">
        <is>
          <t>R</t>
        </is>
      </c>
      <c r="V26" s="250" t="inlineStr">
        <is>
          <t>R</t>
        </is>
      </c>
      <c r="W26" s="250" t="inlineStr">
        <is>
          <t>R</t>
        </is>
      </c>
    </row>
    <row r="27" ht="16" customHeight="1" s="107">
      <c r="A27" s="251" t="n"/>
      <c r="B27" s="251" t="n"/>
      <c r="C27" s="252" t="inlineStr">
        <is>
          <t>D4</t>
        </is>
      </c>
      <c r="D27" s="250" t="inlineStr">
        <is>
          <t>R</t>
        </is>
      </c>
      <c r="E27" s="250" t="inlineStr">
        <is>
          <t>R</t>
        </is>
      </c>
      <c r="F27" s="250" t="inlineStr">
        <is>
          <t>R</t>
        </is>
      </c>
      <c r="G27" s="250" t="inlineStr">
        <is>
          <t>R</t>
        </is>
      </c>
      <c r="H27" s="250" t="inlineStr">
        <is>
          <t>R</t>
        </is>
      </c>
      <c r="I27" s="250" t="inlineStr">
        <is>
          <t>R</t>
        </is>
      </c>
      <c r="J27" s="250" t="inlineStr">
        <is>
          <t>R</t>
        </is>
      </c>
      <c r="K27" s="250" t="inlineStr">
        <is>
          <t>R</t>
        </is>
      </c>
      <c r="L27" s="250" t="inlineStr">
        <is>
          <t>R</t>
        </is>
      </c>
      <c r="M27" s="250" t="inlineStr">
        <is>
          <t>R</t>
        </is>
      </c>
      <c r="N27" s="250" t="inlineStr">
        <is>
          <t>R</t>
        </is>
      </c>
      <c r="O27" s="250" t="inlineStr">
        <is>
          <t>R</t>
        </is>
      </c>
      <c r="P27" s="250" t="inlineStr">
        <is>
          <t>R</t>
        </is>
      </c>
      <c r="Q27" s="250" t="inlineStr">
        <is>
          <t>R</t>
        </is>
      </c>
      <c r="R27" s="250" t="inlineStr">
        <is>
          <t>R</t>
        </is>
      </c>
      <c r="S27" s="250" t="inlineStr">
        <is>
          <t>R</t>
        </is>
      </c>
      <c r="T27" s="250" t="inlineStr">
        <is>
          <t>R</t>
        </is>
      </c>
      <c r="U27" s="250" t="inlineStr">
        <is>
          <t>R</t>
        </is>
      </c>
      <c r="V27" s="250" t="inlineStr">
        <is>
          <t>R</t>
        </is>
      </c>
      <c r="W27" s="250" t="inlineStr">
        <is>
          <t>R</t>
        </is>
      </c>
    </row>
    <row r="28" ht="16" customHeight="1" s="107">
      <c r="A28" s="254" t="n"/>
      <c r="B28" s="254" t="n"/>
      <c r="C28" s="253" t="inlineStr">
        <is>
          <t>D5</t>
        </is>
      </c>
      <c r="D28" s="250" t="inlineStr">
        <is>
          <t>R</t>
        </is>
      </c>
      <c r="E28" s="250" t="inlineStr">
        <is>
          <t>R</t>
        </is>
      </c>
      <c r="F28" s="250" t="inlineStr">
        <is>
          <t>R</t>
        </is>
      </c>
      <c r="G28" s="250" t="inlineStr">
        <is>
          <t>R</t>
        </is>
      </c>
      <c r="H28" s="250" t="inlineStr">
        <is>
          <t>R</t>
        </is>
      </c>
      <c r="I28" s="250" t="inlineStr">
        <is>
          <t>R</t>
        </is>
      </c>
      <c r="J28" s="250" t="inlineStr">
        <is>
          <t>R</t>
        </is>
      </c>
      <c r="K28" s="250" t="inlineStr">
        <is>
          <t>R</t>
        </is>
      </c>
      <c r="L28" s="250" t="inlineStr">
        <is>
          <t>R</t>
        </is>
      </c>
      <c r="M28" s="250" t="inlineStr">
        <is>
          <t>R</t>
        </is>
      </c>
      <c r="N28" s="250" t="inlineStr">
        <is>
          <t>R</t>
        </is>
      </c>
      <c r="O28" s="250" t="inlineStr">
        <is>
          <t>R</t>
        </is>
      </c>
      <c r="P28" s="250" t="inlineStr">
        <is>
          <t>R</t>
        </is>
      </c>
      <c r="Q28" s="250" t="inlineStr">
        <is>
          <t>R</t>
        </is>
      </c>
      <c r="R28" s="250" t="inlineStr">
        <is>
          <t>R</t>
        </is>
      </c>
      <c r="S28" s="250" t="inlineStr">
        <is>
          <t>R</t>
        </is>
      </c>
      <c r="T28" s="250" t="inlineStr">
        <is>
          <t>R</t>
        </is>
      </c>
      <c r="U28" s="250" t="inlineStr">
        <is>
          <t>R</t>
        </is>
      </c>
      <c r="V28" s="250" t="inlineStr">
        <is>
          <t>R</t>
        </is>
      </c>
      <c r="W28" s="250" t="inlineStr">
        <is>
          <t>R</t>
        </is>
      </c>
    </row>
    <row r="29" ht="16" customHeight="1" s="107">
      <c r="A29" s="247" t="inlineStr">
        <is>
          <t>Atrium</t>
        </is>
      </c>
      <c r="B29" s="248" t="n">
        <v>250</v>
      </c>
      <c r="C29" s="249" t="inlineStr">
        <is>
          <t>D1</t>
        </is>
      </c>
      <c r="D29" s="250" t="inlineStr">
        <is>
          <t>R</t>
        </is>
      </c>
      <c r="E29" s="250" t="inlineStr">
        <is>
          <t>R</t>
        </is>
      </c>
      <c r="F29" s="250" t="inlineStr">
        <is>
          <t>R</t>
        </is>
      </c>
      <c r="G29" s="250" t="inlineStr">
        <is>
          <t>R</t>
        </is>
      </c>
      <c r="H29" s="250" t="inlineStr">
        <is>
          <t>R</t>
        </is>
      </c>
      <c r="I29" s="250" t="inlineStr">
        <is>
          <t>R</t>
        </is>
      </c>
      <c r="J29" s="250" t="inlineStr">
        <is>
          <t>R</t>
        </is>
      </c>
      <c r="K29" s="250" t="inlineStr">
        <is>
          <t>R</t>
        </is>
      </c>
      <c r="L29" s="250" t="inlineStr">
        <is>
          <t>R</t>
        </is>
      </c>
      <c r="M29" s="250" t="inlineStr">
        <is>
          <t>R</t>
        </is>
      </c>
      <c r="N29" s="250" t="inlineStr">
        <is>
          <t>R</t>
        </is>
      </c>
      <c r="O29" s="250" t="inlineStr">
        <is>
          <t>R</t>
        </is>
      </c>
      <c r="P29" s="250" t="inlineStr">
        <is>
          <t>R</t>
        </is>
      </c>
      <c r="Q29" s="250" t="inlineStr">
        <is>
          <t>R</t>
        </is>
      </c>
      <c r="R29" s="250" t="inlineStr">
        <is>
          <t>R</t>
        </is>
      </c>
      <c r="S29" s="250" t="inlineStr">
        <is>
          <t>R</t>
        </is>
      </c>
      <c r="T29" s="250" t="inlineStr">
        <is>
          <t>R</t>
        </is>
      </c>
      <c r="U29" s="250" t="inlineStr">
        <is>
          <t>R</t>
        </is>
      </c>
      <c r="V29" s="250" t="inlineStr">
        <is>
          <t>R</t>
        </is>
      </c>
      <c r="W29" s="250" t="inlineStr">
        <is>
          <t>R</t>
        </is>
      </c>
    </row>
    <row r="30" ht="16" customHeight="1" s="107">
      <c r="A30" s="251" t="n"/>
      <c r="B30" s="251" t="n"/>
      <c r="C30" s="252" t="inlineStr">
        <is>
          <t>D2</t>
        </is>
      </c>
      <c r="D30" s="250" t="inlineStr">
        <is>
          <t>R</t>
        </is>
      </c>
      <c r="E30" s="250" t="inlineStr">
        <is>
          <t>R</t>
        </is>
      </c>
      <c r="F30" s="250" t="inlineStr">
        <is>
          <t>R</t>
        </is>
      </c>
      <c r="G30" s="250" t="inlineStr">
        <is>
          <t>R</t>
        </is>
      </c>
      <c r="H30" s="250" t="inlineStr">
        <is>
          <t>R</t>
        </is>
      </c>
      <c r="I30" s="250" t="inlineStr">
        <is>
          <t>R</t>
        </is>
      </c>
      <c r="J30" s="250" t="inlineStr">
        <is>
          <t>R</t>
        </is>
      </c>
      <c r="K30" s="250" t="inlineStr">
        <is>
          <t>R</t>
        </is>
      </c>
      <c r="L30" s="250" t="inlineStr">
        <is>
          <t>R</t>
        </is>
      </c>
      <c r="M30" s="250" t="inlineStr">
        <is>
          <t>R</t>
        </is>
      </c>
      <c r="N30" s="250" t="inlineStr">
        <is>
          <t>R</t>
        </is>
      </c>
      <c r="O30" s="250" t="inlineStr">
        <is>
          <t>R</t>
        </is>
      </c>
      <c r="P30" s="250" t="inlineStr">
        <is>
          <t>R</t>
        </is>
      </c>
      <c r="Q30" s="250" t="inlineStr">
        <is>
          <t>R</t>
        </is>
      </c>
      <c r="R30" s="250" t="inlineStr">
        <is>
          <t>R</t>
        </is>
      </c>
      <c r="S30" s="250" t="inlineStr">
        <is>
          <t>R</t>
        </is>
      </c>
      <c r="T30" s="250" t="inlineStr">
        <is>
          <t>R</t>
        </is>
      </c>
      <c r="U30" s="250" t="inlineStr">
        <is>
          <t>R</t>
        </is>
      </c>
      <c r="V30" s="250" t="inlineStr">
        <is>
          <t>R</t>
        </is>
      </c>
      <c r="W30" s="250" t="inlineStr">
        <is>
          <t>R</t>
        </is>
      </c>
    </row>
    <row r="31" ht="16" customHeight="1" s="107">
      <c r="A31" s="251" t="n"/>
      <c r="B31" s="251" t="n"/>
      <c r="C31" s="253" t="inlineStr">
        <is>
          <t>D3</t>
        </is>
      </c>
      <c r="D31" s="250" t="inlineStr">
        <is>
          <t>R</t>
        </is>
      </c>
      <c r="E31" s="250" t="inlineStr">
        <is>
          <t>R</t>
        </is>
      </c>
      <c r="F31" s="250" t="inlineStr">
        <is>
          <t>R</t>
        </is>
      </c>
      <c r="G31" s="250" t="inlineStr">
        <is>
          <t>R</t>
        </is>
      </c>
      <c r="H31" s="250" t="inlineStr">
        <is>
          <t>R</t>
        </is>
      </c>
      <c r="I31" s="250" t="inlineStr">
        <is>
          <t>R</t>
        </is>
      </c>
      <c r="J31" s="250" t="inlineStr">
        <is>
          <t>R</t>
        </is>
      </c>
      <c r="K31" s="250" t="inlineStr">
        <is>
          <t>R</t>
        </is>
      </c>
      <c r="L31" s="250" t="inlineStr">
        <is>
          <t>R</t>
        </is>
      </c>
      <c r="M31" s="250" t="inlineStr">
        <is>
          <t>R</t>
        </is>
      </c>
      <c r="N31" s="250" t="inlineStr">
        <is>
          <t>R</t>
        </is>
      </c>
      <c r="O31" s="250" t="inlineStr">
        <is>
          <t>R</t>
        </is>
      </c>
      <c r="P31" s="250" t="inlineStr">
        <is>
          <t>R</t>
        </is>
      </c>
      <c r="Q31" s="250" t="inlineStr">
        <is>
          <t>R</t>
        </is>
      </c>
      <c r="R31" s="250" t="inlineStr">
        <is>
          <t>R</t>
        </is>
      </c>
      <c r="S31" s="250" t="inlineStr">
        <is>
          <t>R</t>
        </is>
      </c>
      <c r="T31" s="250" t="inlineStr">
        <is>
          <t>R</t>
        </is>
      </c>
      <c r="U31" s="250" t="inlineStr">
        <is>
          <t>R</t>
        </is>
      </c>
      <c r="V31" s="250" t="inlineStr">
        <is>
          <t>R</t>
        </is>
      </c>
      <c r="W31" s="250" t="inlineStr">
        <is>
          <t>R</t>
        </is>
      </c>
    </row>
    <row r="32" ht="16" customHeight="1" s="107">
      <c r="A32" s="251" t="n"/>
      <c r="B32" s="251" t="n"/>
      <c r="C32" s="252" t="inlineStr">
        <is>
          <t>D4</t>
        </is>
      </c>
      <c r="D32" s="250" t="inlineStr">
        <is>
          <t>R</t>
        </is>
      </c>
      <c r="E32" s="250" t="inlineStr">
        <is>
          <t>R</t>
        </is>
      </c>
      <c r="F32" s="250" t="inlineStr">
        <is>
          <t>R</t>
        </is>
      </c>
      <c r="G32" s="250" t="inlineStr">
        <is>
          <t>R</t>
        </is>
      </c>
      <c r="H32" s="250" t="inlineStr">
        <is>
          <t>R</t>
        </is>
      </c>
      <c r="I32" s="250" t="inlineStr">
        <is>
          <t>R</t>
        </is>
      </c>
      <c r="J32" s="250" t="inlineStr">
        <is>
          <t>R</t>
        </is>
      </c>
      <c r="K32" s="250" t="inlineStr">
        <is>
          <t>R</t>
        </is>
      </c>
      <c r="L32" s="250" t="inlineStr">
        <is>
          <t>R</t>
        </is>
      </c>
      <c r="M32" s="250" t="inlineStr">
        <is>
          <t>R</t>
        </is>
      </c>
      <c r="N32" s="250" t="inlineStr">
        <is>
          <t>R</t>
        </is>
      </c>
      <c r="O32" s="250" t="inlineStr">
        <is>
          <t>R</t>
        </is>
      </c>
      <c r="P32" s="250" t="inlineStr">
        <is>
          <t>R</t>
        </is>
      </c>
      <c r="Q32" s="250" t="inlineStr">
        <is>
          <t>R</t>
        </is>
      </c>
      <c r="R32" s="250" t="inlineStr">
        <is>
          <t>R</t>
        </is>
      </c>
      <c r="S32" s="250" t="inlineStr">
        <is>
          <t>R</t>
        </is>
      </c>
      <c r="T32" s="250" t="inlineStr">
        <is>
          <t>R</t>
        </is>
      </c>
      <c r="U32" s="250" t="inlineStr">
        <is>
          <t>R</t>
        </is>
      </c>
      <c r="V32" s="250" t="inlineStr">
        <is>
          <t>R</t>
        </is>
      </c>
      <c r="W32" s="250" t="inlineStr">
        <is>
          <t>R</t>
        </is>
      </c>
    </row>
    <row r="33" ht="16" customHeight="1" s="107">
      <c r="A33" s="254" t="n"/>
      <c r="B33" s="254" t="n"/>
      <c r="C33" s="253" t="inlineStr">
        <is>
          <t>D5</t>
        </is>
      </c>
      <c r="D33" s="250" t="inlineStr">
        <is>
          <t>R</t>
        </is>
      </c>
      <c r="E33" s="250" t="inlineStr">
        <is>
          <t>R</t>
        </is>
      </c>
      <c r="F33" s="250" t="inlineStr">
        <is>
          <t>R</t>
        </is>
      </c>
      <c r="G33" s="250" t="inlineStr">
        <is>
          <t>R</t>
        </is>
      </c>
      <c r="H33" s="250" t="inlineStr">
        <is>
          <t>R</t>
        </is>
      </c>
      <c r="I33" s="250" t="inlineStr">
        <is>
          <t>R</t>
        </is>
      </c>
      <c r="J33" s="250" t="inlineStr">
        <is>
          <t>R</t>
        </is>
      </c>
      <c r="K33" s="250" t="inlineStr">
        <is>
          <t>R</t>
        </is>
      </c>
      <c r="L33" s="250" t="inlineStr">
        <is>
          <t>R</t>
        </is>
      </c>
      <c r="M33" s="250" t="inlineStr">
        <is>
          <t>R</t>
        </is>
      </c>
      <c r="N33" s="250" t="inlineStr">
        <is>
          <t>R</t>
        </is>
      </c>
      <c r="O33" s="250" t="inlineStr">
        <is>
          <t>R</t>
        </is>
      </c>
      <c r="P33" s="250" t="inlineStr">
        <is>
          <t>R</t>
        </is>
      </c>
      <c r="Q33" s="250" t="inlineStr">
        <is>
          <t>R</t>
        </is>
      </c>
      <c r="R33" s="250" t="inlineStr">
        <is>
          <t>R</t>
        </is>
      </c>
      <c r="S33" s="250" t="inlineStr">
        <is>
          <t>R</t>
        </is>
      </c>
      <c r="T33" s="250" t="inlineStr">
        <is>
          <t>R</t>
        </is>
      </c>
      <c r="U33" s="250" t="inlineStr">
        <is>
          <t>R</t>
        </is>
      </c>
      <c r="V33" s="250" t="inlineStr">
        <is>
          <t>R</t>
        </is>
      </c>
      <c r="W33" s="250" t="inlineStr">
        <is>
          <t>R</t>
        </is>
      </c>
    </row>
    <row r="34" ht="16" customHeight="1" s="107">
      <c r="A34" s="247" t="inlineStr">
        <is>
          <t>Room E1</t>
        </is>
      </c>
      <c r="B34" s="248" t="n">
        <v>35</v>
      </c>
      <c r="C34" s="249" t="inlineStr">
        <is>
          <t>D1</t>
        </is>
      </c>
      <c r="D34" s="255" t="inlineStr"/>
      <c r="E34" s="255" t="inlineStr"/>
      <c r="F34" s="255" t="inlineStr"/>
      <c r="G34" s="255" t="inlineStr"/>
      <c r="H34" s="255" t="inlineStr"/>
      <c r="I34" s="255" t="inlineStr"/>
      <c r="J34" s="255" t="inlineStr"/>
      <c r="K34" s="255" t="inlineStr"/>
      <c r="L34" s="255" t="inlineStr"/>
      <c r="M34" s="255" t="inlineStr"/>
      <c r="N34" s="255" t="inlineStr"/>
      <c r="O34" s="255" t="inlineStr"/>
      <c r="P34" s="255" t="inlineStr"/>
      <c r="Q34" s="255" t="inlineStr"/>
      <c r="R34" s="255" t="inlineStr"/>
      <c r="S34" s="255" t="inlineStr"/>
      <c r="T34" s="255" t="inlineStr"/>
      <c r="U34" s="255" t="inlineStr"/>
      <c r="V34" s="255" t="inlineStr"/>
      <c r="W34" s="255" t="inlineStr"/>
    </row>
    <row r="35" ht="16" customHeight="1" s="107">
      <c r="A35" s="251" t="n"/>
      <c r="B35" s="251" t="n"/>
      <c r="C35" s="252" t="inlineStr">
        <is>
          <t>D2</t>
        </is>
      </c>
      <c r="D35" s="255" t="inlineStr"/>
      <c r="E35" s="255" t="inlineStr"/>
      <c r="F35" s="255" t="inlineStr"/>
      <c r="G35" s="255" t="inlineStr"/>
      <c r="H35" s="255" t="inlineStr"/>
      <c r="I35" s="255" t="inlineStr"/>
      <c r="J35" s="255" t="inlineStr"/>
      <c r="K35" s="255" t="inlineStr"/>
      <c r="L35" s="255" t="inlineStr"/>
      <c r="M35" s="255" t="inlineStr"/>
      <c r="N35" s="255" t="inlineStr"/>
      <c r="O35" s="255" t="inlineStr"/>
      <c r="P35" s="255" t="inlineStr"/>
      <c r="Q35" s="255" t="inlineStr"/>
      <c r="R35" s="255" t="inlineStr"/>
      <c r="S35" s="255" t="inlineStr"/>
      <c r="T35" s="255" t="inlineStr"/>
      <c r="U35" s="255" t="inlineStr"/>
      <c r="V35" s="255" t="inlineStr"/>
      <c r="W35" s="255" t="inlineStr"/>
    </row>
    <row r="36" ht="16" customHeight="1" s="107">
      <c r="A36" s="251" t="n"/>
      <c r="B36" s="251" t="n"/>
      <c r="C36" s="253" t="inlineStr">
        <is>
          <t>D3</t>
        </is>
      </c>
      <c r="D36" s="255" t="inlineStr"/>
      <c r="E36" s="255" t="inlineStr"/>
      <c r="F36" s="255" t="inlineStr"/>
      <c r="G36" s="255" t="inlineStr"/>
      <c r="H36" s="255" t="inlineStr"/>
      <c r="I36" s="255" t="inlineStr"/>
      <c r="J36" s="255" t="inlineStr"/>
      <c r="K36" s="255" t="inlineStr"/>
      <c r="L36" s="255" t="inlineStr"/>
      <c r="M36" s="255" t="inlineStr"/>
      <c r="N36" s="255" t="inlineStr"/>
      <c r="O36" s="255" t="inlineStr"/>
      <c r="P36" s="255" t="inlineStr"/>
      <c r="Q36" s="255" t="inlineStr"/>
      <c r="R36" s="255" t="inlineStr"/>
      <c r="S36" s="255" t="inlineStr"/>
      <c r="T36" s="255" t="inlineStr"/>
      <c r="U36" s="255" t="inlineStr"/>
      <c r="V36" s="255" t="inlineStr"/>
      <c r="W36" s="255" t="inlineStr"/>
    </row>
    <row r="37" ht="16" customHeight="1" s="107">
      <c r="A37" s="251" t="n"/>
      <c r="B37" s="251" t="n"/>
      <c r="C37" s="252" t="inlineStr">
        <is>
          <t>D4</t>
        </is>
      </c>
      <c r="D37" s="255" t="inlineStr"/>
      <c r="E37" s="255" t="inlineStr"/>
      <c r="F37" s="255" t="inlineStr"/>
      <c r="G37" s="255" t="inlineStr"/>
      <c r="H37" s="255" t="inlineStr"/>
      <c r="I37" s="255" t="inlineStr"/>
      <c r="J37" s="255" t="inlineStr"/>
      <c r="K37" s="255" t="inlineStr"/>
      <c r="L37" s="255" t="inlineStr"/>
      <c r="M37" s="255" t="inlineStr"/>
      <c r="N37" s="255" t="inlineStr"/>
      <c r="O37" s="255" t="inlineStr"/>
      <c r="P37" s="255" t="inlineStr"/>
      <c r="Q37" s="255" t="inlineStr"/>
      <c r="R37" s="255" t="inlineStr"/>
      <c r="S37" s="255" t="inlineStr"/>
      <c r="T37" s="255" t="inlineStr"/>
      <c r="U37" s="255" t="inlineStr"/>
      <c r="V37" s="255" t="inlineStr"/>
      <c r="W37" s="255" t="inlineStr"/>
    </row>
    <row r="38" ht="16" customHeight="1" s="107">
      <c r="A38" s="254" t="n"/>
      <c r="B38" s="254" t="n"/>
      <c r="C38" s="253" t="inlineStr">
        <is>
          <t>D5</t>
        </is>
      </c>
      <c r="D38" s="255" t="inlineStr"/>
      <c r="E38" s="255" t="inlineStr"/>
      <c r="F38" s="255" t="inlineStr"/>
      <c r="G38" s="255" t="inlineStr"/>
      <c r="H38" s="255" t="inlineStr"/>
      <c r="I38" s="255" t="inlineStr"/>
      <c r="J38" s="255" t="inlineStr"/>
      <c r="K38" s="255" t="inlineStr"/>
      <c r="L38" s="255" t="inlineStr"/>
      <c r="M38" s="255" t="inlineStr"/>
      <c r="N38" s="255" t="inlineStr"/>
      <c r="O38" s="255" t="inlineStr"/>
      <c r="P38" s="255" t="inlineStr"/>
      <c r="Q38" s="255" t="inlineStr"/>
      <c r="R38" s="255" t="inlineStr"/>
      <c r="S38" s="255" t="inlineStr"/>
      <c r="T38" s="255" t="inlineStr"/>
      <c r="U38" s="255" t="inlineStr"/>
      <c r="V38" s="255" t="inlineStr"/>
      <c r="W38" s="255" t="inlineStr"/>
    </row>
    <row r="39" ht="16" customHeight="1" s="107">
      <c r="A39" s="247" t="inlineStr">
        <is>
          <t>Room E2</t>
        </is>
      </c>
      <c r="B39" s="248" t="n">
        <v>30</v>
      </c>
      <c r="C39" s="249" t="inlineStr">
        <is>
          <t>D1</t>
        </is>
      </c>
      <c r="D39" s="255" t="inlineStr"/>
      <c r="E39" s="255" t="inlineStr"/>
      <c r="F39" s="255" t="inlineStr"/>
      <c r="G39" s="255" t="inlineStr"/>
      <c r="H39" s="255" t="inlineStr"/>
      <c r="I39" s="255" t="inlineStr"/>
      <c r="J39" s="255" t="inlineStr"/>
      <c r="K39" s="255" t="inlineStr"/>
      <c r="L39" s="255" t="inlineStr"/>
      <c r="M39" s="255" t="inlineStr"/>
      <c r="N39" s="255" t="inlineStr"/>
      <c r="O39" s="255" t="inlineStr"/>
      <c r="P39" s="255" t="inlineStr"/>
      <c r="Q39" s="255" t="inlineStr"/>
      <c r="R39" s="255" t="inlineStr"/>
      <c r="S39" s="255" t="inlineStr"/>
      <c r="T39" s="255" t="inlineStr"/>
      <c r="U39" s="255" t="inlineStr"/>
      <c r="V39" s="255" t="inlineStr"/>
      <c r="W39" s="255" t="inlineStr"/>
    </row>
    <row r="40" ht="16" customHeight="1" s="107">
      <c r="A40" s="251" t="n"/>
      <c r="B40" s="251" t="n"/>
      <c r="C40" s="252" t="inlineStr">
        <is>
          <t>D2</t>
        </is>
      </c>
      <c r="D40" s="255" t="inlineStr"/>
      <c r="E40" s="255" t="inlineStr"/>
      <c r="F40" s="255" t="inlineStr"/>
      <c r="G40" s="255" t="inlineStr"/>
      <c r="H40" s="255" t="inlineStr"/>
      <c r="I40" s="255" t="inlineStr"/>
      <c r="J40" s="255" t="inlineStr"/>
      <c r="K40" s="255" t="inlineStr"/>
      <c r="L40" s="255" t="inlineStr"/>
      <c r="M40" s="255" t="inlineStr"/>
      <c r="N40" s="255" t="inlineStr"/>
      <c r="O40" s="255" t="inlineStr"/>
      <c r="P40" s="255" t="inlineStr"/>
      <c r="Q40" s="255" t="inlineStr"/>
      <c r="R40" s="255" t="inlineStr"/>
      <c r="S40" s="255" t="inlineStr"/>
      <c r="T40" s="255" t="inlineStr"/>
      <c r="U40" s="255" t="inlineStr"/>
      <c r="V40" s="255" t="inlineStr"/>
      <c r="W40" s="255" t="inlineStr"/>
    </row>
    <row r="41" ht="16" customHeight="1" s="107">
      <c r="A41" s="251" t="n"/>
      <c r="B41" s="251" t="n"/>
      <c r="C41" s="253" t="inlineStr">
        <is>
          <t>D3</t>
        </is>
      </c>
      <c r="D41" s="255" t="inlineStr"/>
      <c r="E41" s="255" t="inlineStr"/>
      <c r="F41" s="255" t="inlineStr"/>
      <c r="G41" s="255" t="inlineStr"/>
      <c r="H41" s="255" t="inlineStr"/>
      <c r="I41" s="255" t="inlineStr"/>
      <c r="J41" s="255" t="inlineStr"/>
      <c r="K41" s="255" t="inlineStr"/>
      <c r="L41" s="255" t="inlineStr"/>
      <c r="M41" s="255" t="inlineStr"/>
      <c r="N41" s="255" t="inlineStr"/>
      <c r="O41" s="255" t="inlineStr"/>
      <c r="P41" s="255" t="inlineStr"/>
      <c r="Q41" s="255" t="inlineStr"/>
      <c r="R41" s="255" t="inlineStr"/>
      <c r="S41" s="255" t="inlineStr"/>
      <c r="T41" s="255" t="inlineStr"/>
      <c r="U41" s="255" t="inlineStr"/>
      <c r="V41" s="255" t="inlineStr"/>
      <c r="W41" s="255" t="inlineStr"/>
    </row>
    <row r="42" ht="16" customHeight="1" s="107">
      <c r="A42" s="251" t="n"/>
      <c r="B42" s="251" t="n"/>
      <c r="C42" s="252" t="inlineStr">
        <is>
          <t>D4</t>
        </is>
      </c>
      <c r="D42" s="255" t="inlineStr"/>
      <c r="E42" s="255" t="inlineStr"/>
      <c r="F42" s="255" t="inlineStr"/>
      <c r="G42" s="255" t="inlineStr"/>
      <c r="H42" s="255" t="inlineStr"/>
      <c r="I42" s="255" t="inlineStr"/>
      <c r="J42" s="255" t="inlineStr"/>
      <c r="K42" s="255" t="inlineStr"/>
      <c r="L42" s="255" t="inlineStr"/>
      <c r="M42" s="255" t="inlineStr"/>
      <c r="N42" s="255" t="inlineStr"/>
      <c r="O42" s="255" t="inlineStr"/>
      <c r="P42" s="255" t="inlineStr"/>
      <c r="Q42" s="255" t="inlineStr"/>
      <c r="R42" s="255" t="inlineStr"/>
      <c r="S42" s="255" t="inlineStr"/>
      <c r="T42" s="255" t="inlineStr"/>
      <c r="U42" s="255" t="inlineStr"/>
      <c r="V42" s="255" t="inlineStr"/>
      <c r="W42" s="255" t="inlineStr"/>
    </row>
    <row r="43" ht="16" customHeight="1" s="107">
      <c r="A43" s="254" t="n"/>
      <c r="B43" s="254" t="n"/>
      <c r="C43" s="253" t="inlineStr">
        <is>
          <t>D5</t>
        </is>
      </c>
      <c r="D43" s="255" t="inlineStr"/>
      <c r="E43" s="255" t="inlineStr"/>
      <c r="F43" s="255" t="inlineStr"/>
      <c r="G43" s="255" t="inlineStr"/>
      <c r="H43" s="255" t="inlineStr"/>
      <c r="I43" s="255" t="inlineStr"/>
      <c r="J43" s="255" t="inlineStr"/>
      <c r="K43" s="255" t="inlineStr"/>
      <c r="L43" s="255" t="inlineStr"/>
      <c r="M43" s="255" t="inlineStr"/>
      <c r="N43" s="255" t="inlineStr"/>
      <c r="O43" s="255" t="inlineStr"/>
      <c r="P43" s="255" t="inlineStr"/>
      <c r="Q43" s="255" t="inlineStr"/>
      <c r="R43" s="255" t="inlineStr"/>
      <c r="S43" s="255" t="inlineStr"/>
      <c r="T43" s="255" t="inlineStr"/>
      <c r="U43" s="255" t="inlineStr"/>
      <c r="V43" s="255" t="inlineStr"/>
      <c r="W43" s="255" t="inlineStr"/>
    </row>
    <row r="44" ht="16" customHeight="1" s="107">
      <c r="A44" s="247" t="inlineStr">
        <is>
          <t>Room F1</t>
        </is>
      </c>
      <c r="B44" s="248" t="n">
        <v>25</v>
      </c>
      <c r="C44" s="249" t="inlineStr">
        <is>
          <t>D1</t>
        </is>
      </c>
      <c r="D44" s="255" t="inlineStr"/>
      <c r="E44" s="255" t="inlineStr"/>
      <c r="F44" s="255" t="inlineStr"/>
      <c r="G44" s="255" t="inlineStr"/>
      <c r="H44" s="255" t="inlineStr"/>
      <c r="I44" s="255" t="inlineStr"/>
      <c r="J44" s="255" t="inlineStr"/>
      <c r="K44" s="255" t="inlineStr"/>
      <c r="L44" s="255" t="inlineStr"/>
      <c r="M44" s="255" t="inlineStr"/>
      <c r="N44" s="255" t="inlineStr"/>
      <c r="O44" s="255" t="inlineStr"/>
      <c r="P44" s="255" t="inlineStr"/>
      <c r="Q44" s="255" t="inlineStr"/>
      <c r="R44" s="255" t="inlineStr"/>
      <c r="S44" s="255" t="inlineStr"/>
      <c r="T44" s="255" t="inlineStr"/>
      <c r="U44" s="255" t="inlineStr"/>
      <c r="V44" s="255" t="inlineStr"/>
      <c r="W44" s="255" t="inlineStr"/>
    </row>
    <row r="45" ht="16" customHeight="1" s="107">
      <c r="A45" s="251" t="n"/>
      <c r="B45" s="251" t="n"/>
      <c r="C45" s="252" t="inlineStr">
        <is>
          <t>D2</t>
        </is>
      </c>
      <c r="D45" s="255" t="inlineStr"/>
      <c r="E45" s="255" t="inlineStr"/>
      <c r="F45" s="255" t="inlineStr"/>
      <c r="G45" s="255" t="inlineStr"/>
      <c r="H45" s="255" t="inlineStr"/>
      <c r="I45" s="255" t="inlineStr"/>
      <c r="J45" s="255" t="inlineStr"/>
      <c r="K45" s="255" t="inlineStr"/>
      <c r="L45" s="255" t="inlineStr"/>
      <c r="M45" s="255" t="inlineStr"/>
      <c r="N45" s="255" t="inlineStr"/>
      <c r="O45" s="255" t="inlineStr"/>
      <c r="P45" s="255" t="inlineStr"/>
      <c r="Q45" s="255" t="inlineStr"/>
      <c r="R45" s="255" t="inlineStr"/>
      <c r="S45" s="255" t="inlineStr"/>
      <c r="T45" s="255" t="inlineStr"/>
      <c r="U45" s="255" t="inlineStr"/>
      <c r="V45" s="255" t="inlineStr"/>
      <c r="W45" s="255" t="inlineStr"/>
    </row>
    <row r="46" ht="16" customHeight="1" s="107">
      <c r="A46" s="251" t="n"/>
      <c r="B46" s="251" t="n"/>
      <c r="C46" s="253" t="inlineStr">
        <is>
          <t>D3</t>
        </is>
      </c>
      <c r="D46" s="255" t="inlineStr"/>
      <c r="E46" s="255" t="inlineStr"/>
      <c r="F46" s="255" t="inlineStr"/>
      <c r="G46" s="255" t="inlineStr"/>
      <c r="H46" s="255" t="inlineStr"/>
      <c r="I46" s="255" t="inlineStr"/>
      <c r="J46" s="255" t="inlineStr"/>
      <c r="K46" s="255" t="inlineStr"/>
      <c r="L46" s="255" t="inlineStr"/>
      <c r="M46" s="255" t="inlineStr"/>
      <c r="N46" s="255" t="inlineStr"/>
      <c r="O46" s="255" t="inlineStr"/>
      <c r="P46" s="255" t="inlineStr"/>
      <c r="Q46" s="255" t="inlineStr"/>
      <c r="R46" s="255" t="inlineStr"/>
      <c r="S46" s="255" t="inlineStr"/>
      <c r="T46" s="255" t="inlineStr"/>
      <c r="U46" s="255" t="inlineStr"/>
      <c r="V46" s="255" t="inlineStr"/>
      <c r="W46" s="255" t="inlineStr"/>
    </row>
    <row r="47" ht="16" customHeight="1" s="107">
      <c r="A47" s="251" t="n"/>
      <c r="B47" s="251" t="n"/>
      <c r="C47" s="252" t="inlineStr">
        <is>
          <t>D4</t>
        </is>
      </c>
      <c r="D47" s="255" t="inlineStr"/>
      <c r="E47" s="255" t="inlineStr"/>
      <c r="F47" s="255" t="inlineStr"/>
      <c r="G47" s="255" t="inlineStr"/>
      <c r="H47" s="255" t="inlineStr"/>
      <c r="I47" s="255" t="inlineStr"/>
      <c r="J47" s="255" t="inlineStr"/>
      <c r="K47" s="255" t="inlineStr"/>
      <c r="L47" s="255" t="inlineStr"/>
      <c r="M47" s="255" t="inlineStr"/>
      <c r="N47" s="255" t="inlineStr"/>
      <c r="O47" s="255" t="inlineStr"/>
      <c r="P47" s="255" t="inlineStr"/>
      <c r="Q47" s="255" t="inlineStr"/>
      <c r="R47" s="255" t="inlineStr"/>
      <c r="S47" s="255" t="inlineStr"/>
      <c r="T47" s="255" t="inlineStr"/>
      <c r="U47" s="255" t="inlineStr"/>
      <c r="V47" s="255" t="inlineStr"/>
      <c r="W47" s="255" t="inlineStr"/>
    </row>
    <row r="48" ht="16" customHeight="1" s="107">
      <c r="A48" s="254" t="n"/>
      <c r="B48" s="254" t="n"/>
      <c r="C48" s="253" t="inlineStr">
        <is>
          <t>D5</t>
        </is>
      </c>
      <c r="D48" s="255" t="inlineStr"/>
      <c r="E48" s="255" t="inlineStr"/>
      <c r="F48" s="255" t="inlineStr"/>
      <c r="G48" s="255" t="inlineStr"/>
      <c r="H48" s="255" t="inlineStr"/>
      <c r="I48" s="255" t="inlineStr"/>
      <c r="J48" s="255" t="inlineStr"/>
      <c r="K48" s="255" t="inlineStr"/>
      <c r="L48" s="255" t="inlineStr"/>
      <c r="M48" s="255" t="inlineStr"/>
      <c r="N48" s="255" t="inlineStr"/>
      <c r="O48" s="255" t="inlineStr"/>
      <c r="P48" s="255" t="inlineStr"/>
      <c r="Q48" s="255" t="inlineStr"/>
      <c r="R48" s="255" t="inlineStr"/>
      <c r="S48" s="255" t="inlineStr"/>
      <c r="T48" s="255" t="inlineStr"/>
      <c r="U48" s="255" t="inlineStr"/>
      <c r="V48" s="255" t="inlineStr"/>
      <c r="W48" s="255" t="inlineStr"/>
    </row>
    <row r="49" ht="16" customHeight="1" s="107">
      <c r="A49" s="247" t="inlineStr">
        <is>
          <t>Boardroom G</t>
        </is>
      </c>
      <c r="B49" s="248" t="n">
        <v>15</v>
      </c>
      <c r="C49" s="249" t="inlineStr">
        <is>
          <t>D1</t>
        </is>
      </c>
      <c r="D49" s="255" t="inlineStr"/>
      <c r="E49" s="255" t="inlineStr"/>
      <c r="F49" s="255" t="inlineStr"/>
      <c r="G49" s="255" t="inlineStr"/>
      <c r="H49" s="255" t="inlineStr"/>
      <c r="I49" s="255" t="inlineStr"/>
      <c r="J49" s="255" t="inlineStr"/>
      <c r="K49" s="255" t="inlineStr"/>
      <c r="L49" s="255" t="inlineStr"/>
      <c r="M49" s="255" t="inlineStr"/>
      <c r="N49" s="255" t="inlineStr"/>
      <c r="O49" s="255" t="inlineStr"/>
      <c r="P49" s="255" t="inlineStr"/>
      <c r="Q49" s="255" t="inlineStr"/>
      <c r="R49" s="255" t="inlineStr"/>
      <c r="S49" s="255" t="inlineStr"/>
      <c r="T49" s="255" t="inlineStr"/>
      <c r="U49" s="255" t="inlineStr"/>
      <c r="V49" s="255" t="inlineStr"/>
      <c r="W49" s="255" t="inlineStr"/>
    </row>
    <row r="50" ht="16" customHeight="1" s="107">
      <c r="A50" s="251" t="n"/>
      <c r="B50" s="251" t="n"/>
      <c r="C50" s="252" t="inlineStr">
        <is>
          <t>D2</t>
        </is>
      </c>
      <c r="D50" s="255" t="inlineStr"/>
      <c r="E50" s="255" t="inlineStr"/>
      <c r="F50" s="255" t="inlineStr"/>
      <c r="G50" s="255" t="inlineStr"/>
      <c r="H50" s="255" t="inlineStr"/>
      <c r="I50" s="255" t="inlineStr"/>
      <c r="J50" s="255" t="inlineStr"/>
      <c r="K50" s="255" t="inlineStr"/>
      <c r="L50" s="255" t="inlineStr"/>
      <c r="M50" s="255" t="inlineStr"/>
      <c r="N50" s="255" t="inlineStr"/>
      <c r="O50" s="255" t="inlineStr"/>
      <c r="P50" s="255" t="inlineStr"/>
      <c r="Q50" s="255" t="inlineStr"/>
      <c r="R50" s="255" t="inlineStr"/>
      <c r="S50" s="255" t="inlineStr"/>
      <c r="T50" s="255" t="inlineStr"/>
      <c r="U50" s="255" t="inlineStr"/>
      <c r="V50" s="255" t="inlineStr"/>
      <c r="W50" s="255" t="inlineStr"/>
    </row>
    <row r="51" ht="16" customHeight="1" s="107">
      <c r="A51" s="251" t="n"/>
      <c r="B51" s="251" t="n"/>
      <c r="C51" s="253" t="inlineStr">
        <is>
          <t>D3</t>
        </is>
      </c>
      <c r="D51" s="255" t="inlineStr"/>
      <c r="E51" s="255" t="inlineStr"/>
      <c r="F51" s="255" t="inlineStr"/>
      <c r="G51" s="255" t="inlineStr"/>
      <c r="H51" s="255" t="inlineStr"/>
      <c r="I51" s="255" t="inlineStr"/>
      <c r="J51" s="255" t="inlineStr"/>
      <c r="K51" s="255" t="inlineStr"/>
      <c r="L51" s="255" t="inlineStr"/>
      <c r="M51" s="255" t="inlineStr"/>
      <c r="N51" s="255" t="inlineStr"/>
      <c r="O51" s="255" t="inlineStr"/>
      <c r="P51" s="255" t="inlineStr"/>
      <c r="Q51" s="255" t="inlineStr"/>
      <c r="R51" s="255" t="inlineStr"/>
      <c r="S51" s="255" t="inlineStr"/>
      <c r="T51" s="255" t="inlineStr"/>
      <c r="U51" s="255" t="inlineStr"/>
      <c r="V51" s="255" t="inlineStr"/>
      <c r="W51" s="255" t="inlineStr"/>
    </row>
    <row r="52" ht="16" customHeight="1" s="107">
      <c r="A52" s="251" t="n"/>
      <c r="B52" s="251" t="n"/>
      <c r="C52" s="252" t="inlineStr">
        <is>
          <t>D4</t>
        </is>
      </c>
      <c r="D52" s="255" t="inlineStr"/>
      <c r="E52" s="255" t="inlineStr"/>
      <c r="F52" s="255" t="inlineStr"/>
      <c r="G52" s="255" t="inlineStr"/>
      <c r="H52" s="255" t="inlineStr"/>
      <c r="I52" s="255" t="inlineStr"/>
      <c r="J52" s="255" t="inlineStr"/>
      <c r="K52" s="255" t="inlineStr"/>
      <c r="L52" s="255" t="inlineStr"/>
      <c r="M52" s="255" t="inlineStr"/>
      <c r="N52" s="255" t="inlineStr"/>
      <c r="O52" s="255" t="inlineStr"/>
      <c r="P52" s="255" t="inlineStr"/>
      <c r="Q52" s="255" t="inlineStr"/>
      <c r="R52" s="255" t="inlineStr"/>
      <c r="S52" s="255" t="inlineStr"/>
      <c r="T52" s="255" t="inlineStr"/>
      <c r="U52" s="255" t="inlineStr"/>
      <c r="V52" s="255" t="inlineStr"/>
      <c r="W52" s="255" t="inlineStr"/>
    </row>
    <row r="53" ht="16" customHeight="1" s="107">
      <c r="A53" s="254" t="n"/>
      <c r="B53" s="254" t="n"/>
      <c r="C53" s="253" t="inlineStr">
        <is>
          <t>D5</t>
        </is>
      </c>
      <c r="D53" s="255" t="inlineStr"/>
      <c r="E53" s="255" t="inlineStr"/>
      <c r="F53" s="255" t="inlineStr"/>
      <c r="G53" s="255" t="inlineStr"/>
      <c r="H53" s="255" t="inlineStr"/>
      <c r="I53" s="255" t="inlineStr"/>
      <c r="J53" s="255" t="inlineStr"/>
      <c r="K53" s="255" t="inlineStr"/>
      <c r="L53" s="255" t="inlineStr"/>
      <c r="M53" s="255" t="inlineStr"/>
      <c r="N53" s="255" t="inlineStr"/>
      <c r="O53" s="255" t="inlineStr"/>
      <c r="P53" s="255" t="inlineStr"/>
      <c r="Q53" s="255" t="inlineStr"/>
      <c r="R53" s="255" t="inlineStr"/>
      <c r="S53" s="255" t="inlineStr"/>
      <c r="T53" s="255" t="inlineStr"/>
      <c r="U53" s="255" t="inlineStr"/>
      <c r="V53" s="255" t="inlineStr"/>
      <c r="W53" s="255" t="inlineStr"/>
    </row>
    <row r="54" ht="16" customHeight="1" s="107">
      <c r="A54" s="247" t="inlineStr">
        <is>
          <t>Terrace</t>
        </is>
      </c>
      <c r="B54" s="248" t="n">
        <v>60</v>
      </c>
      <c r="C54" s="249" t="inlineStr">
        <is>
          <t>D1</t>
        </is>
      </c>
      <c r="D54" s="255" t="inlineStr"/>
      <c r="E54" s="255" t="inlineStr"/>
      <c r="F54" s="255" t="inlineStr"/>
      <c r="G54" s="255" t="inlineStr"/>
      <c r="H54" s="255" t="inlineStr"/>
      <c r="I54" s="255" t="inlineStr"/>
      <c r="J54" s="255" t="inlineStr"/>
      <c r="K54" s="255" t="inlineStr"/>
      <c r="L54" s="255" t="inlineStr"/>
      <c r="M54" s="255" t="inlineStr"/>
      <c r="N54" s="255" t="inlineStr"/>
      <c r="O54" s="255" t="inlineStr"/>
      <c r="P54" s="255" t="inlineStr"/>
      <c r="Q54" s="255" t="inlineStr"/>
      <c r="R54" s="255" t="inlineStr"/>
      <c r="S54" s="255" t="inlineStr"/>
      <c r="T54" s="255" t="inlineStr"/>
      <c r="U54" s="255" t="inlineStr"/>
      <c r="V54" s="255" t="inlineStr"/>
      <c r="W54" s="255" t="inlineStr"/>
    </row>
    <row r="55" ht="16" customHeight="1" s="107">
      <c r="A55" s="251" t="n"/>
      <c r="B55" s="251" t="n"/>
      <c r="C55" s="252" t="inlineStr">
        <is>
          <t>D2</t>
        </is>
      </c>
      <c r="D55" s="255" t="inlineStr"/>
      <c r="E55" s="255" t="inlineStr"/>
      <c r="F55" s="255" t="inlineStr"/>
      <c r="G55" s="255" t="inlineStr"/>
      <c r="H55" s="255" t="inlineStr"/>
      <c r="I55" s="255" t="inlineStr"/>
      <c r="J55" s="255" t="inlineStr"/>
      <c r="K55" s="255" t="inlineStr"/>
      <c r="L55" s="255" t="inlineStr"/>
      <c r="M55" s="255" t="inlineStr"/>
      <c r="N55" s="255" t="inlineStr"/>
      <c r="O55" s="255" t="inlineStr"/>
      <c r="P55" s="255" t="inlineStr"/>
      <c r="Q55" s="255" t="inlineStr"/>
      <c r="R55" s="255" t="inlineStr"/>
      <c r="S55" s="255" t="inlineStr"/>
      <c r="T55" s="255" t="inlineStr"/>
      <c r="U55" s="255" t="inlineStr"/>
      <c r="V55" s="255" t="inlineStr"/>
      <c r="W55" s="255" t="inlineStr"/>
    </row>
    <row r="56" ht="16" customHeight="1" s="107">
      <c r="A56" s="251" t="n"/>
      <c r="B56" s="251" t="n"/>
      <c r="C56" s="253" t="inlineStr">
        <is>
          <t>D3</t>
        </is>
      </c>
      <c r="D56" s="255" t="inlineStr"/>
      <c r="E56" s="255" t="inlineStr"/>
      <c r="F56" s="255" t="inlineStr"/>
      <c r="G56" s="255" t="inlineStr"/>
      <c r="H56" s="255" t="inlineStr"/>
      <c r="I56" s="255" t="inlineStr"/>
      <c r="J56" s="255" t="inlineStr"/>
      <c r="K56" s="255" t="inlineStr"/>
      <c r="L56" s="255" t="inlineStr"/>
      <c r="M56" s="255" t="inlineStr"/>
      <c r="N56" s="255" t="inlineStr"/>
      <c r="O56" s="255" t="inlineStr"/>
      <c r="P56" s="255" t="inlineStr"/>
      <c r="Q56" s="255" t="inlineStr"/>
      <c r="R56" s="255" t="inlineStr"/>
      <c r="S56" s="255" t="inlineStr"/>
      <c r="T56" s="255" t="inlineStr"/>
      <c r="U56" s="255" t="inlineStr"/>
      <c r="V56" s="255" t="inlineStr"/>
      <c r="W56" s="255" t="inlineStr"/>
    </row>
    <row r="57" ht="16" customHeight="1" s="107">
      <c r="A57" s="251" t="n"/>
      <c r="B57" s="251" t="n"/>
      <c r="C57" s="252" t="inlineStr">
        <is>
          <t>D4</t>
        </is>
      </c>
      <c r="D57" s="255" t="inlineStr"/>
      <c r="E57" s="255" t="inlineStr"/>
      <c r="F57" s="255" t="inlineStr"/>
      <c r="G57" s="255" t="inlineStr"/>
      <c r="H57" s="255" t="inlineStr"/>
      <c r="I57" s="255" t="inlineStr"/>
      <c r="J57" s="255" t="inlineStr"/>
      <c r="K57" s="255" t="inlineStr"/>
      <c r="L57" s="255" t="inlineStr"/>
      <c r="M57" s="255" t="inlineStr"/>
      <c r="N57" s="255" t="inlineStr"/>
      <c r="O57" s="255" t="inlineStr"/>
      <c r="P57" s="255" t="inlineStr"/>
      <c r="Q57" s="255" t="inlineStr"/>
      <c r="R57" s="255" t="inlineStr"/>
      <c r="S57" s="255" t="inlineStr"/>
      <c r="T57" s="255" t="inlineStr"/>
      <c r="U57" s="255" t="inlineStr"/>
      <c r="V57" s="255" t="inlineStr"/>
      <c r="W57" s="255" t="inlineStr"/>
    </row>
    <row r="58" ht="16" customHeight="1" s="107">
      <c r="A58" s="254" t="n"/>
      <c r="B58" s="254" t="n"/>
      <c r="C58" s="253" t="inlineStr">
        <is>
          <t>D5</t>
        </is>
      </c>
      <c r="D58" s="255" t="inlineStr"/>
      <c r="E58" s="255" t="inlineStr"/>
      <c r="F58" s="255" t="inlineStr"/>
      <c r="G58" s="255" t="inlineStr"/>
      <c r="H58" s="255" t="inlineStr"/>
      <c r="I58" s="255" t="inlineStr"/>
      <c r="J58" s="255" t="inlineStr"/>
      <c r="K58" s="255" t="inlineStr"/>
      <c r="L58" s="255" t="inlineStr"/>
      <c r="M58" s="255" t="inlineStr"/>
      <c r="N58" s="255" t="inlineStr"/>
      <c r="O58" s="255" t="inlineStr"/>
      <c r="P58" s="255" t="inlineStr"/>
      <c r="Q58" s="255" t="inlineStr"/>
      <c r="R58" s="255" t="inlineStr"/>
      <c r="S58" s="255" t="inlineStr"/>
      <c r="T58" s="255" t="inlineStr"/>
      <c r="U58" s="255" t="inlineStr"/>
      <c r="V58" s="255" t="inlineStr"/>
      <c r="W58" s="255" t="inlineStr"/>
    </row>
  </sheetData>
  <mergeCells count="24">
    <mergeCell ref="A2:V2"/>
    <mergeCell ref="B44:B48"/>
    <mergeCell ref="B29:B33"/>
    <mergeCell ref="B9:B13"/>
    <mergeCell ref="B34:B38"/>
    <mergeCell ref="A4:A8"/>
    <mergeCell ref="B19:B23"/>
    <mergeCell ref="A14:A18"/>
    <mergeCell ref="B49:B53"/>
    <mergeCell ref="A44:A48"/>
    <mergeCell ref="A29:A33"/>
    <mergeCell ref="A9:A13"/>
    <mergeCell ref="B24:B28"/>
    <mergeCell ref="B4:B8"/>
    <mergeCell ref="A19:A23"/>
    <mergeCell ref="B54:B58"/>
    <mergeCell ref="A49:A53"/>
    <mergeCell ref="A34:A38"/>
    <mergeCell ref="A39:A43"/>
    <mergeCell ref="A1:V1"/>
    <mergeCell ref="A24:A28"/>
    <mergeCell ref="A54:A58"/>
    <mergeCell ref="B14:B18"/>
    <mergeCell ref="B39:B43"/>
  </mergeCells>
  <conditionalFormatting sqref="D4:W58">
    <cfRule type="cellIs" priority="1" operator="equal" dxfId="28">
      <formula>"R"</formula>
    </cfRule>
  </conditionalFormatting>
  <dataValidations count="1">
    <dataValidation sqref="D4 D5 D6 D7 D8 D9 D10 D11 D12 D13 D14 D15 D16 D17 D18 D19 D20 D21 D22 D23 D24 D25 D26 D27 D28 D29 D30 D31 D32 D33 D34 D35 D36 D37 D38 D39 D40 D41 D42 D43 D44 D45 D46 D47 D48 D49 D50 D51 D52 D53 D54 D55 D56 D57 D58 E4 E5 E6 E7 E8 E9 E10 E11 E12 E13 E14 E15 E16 E17 E18 E19 E20 E21 E22 E23 E24 E25 E26 E27 E28 E29 E30 E31 E32 E33 E34 E35 E36 E37 E38 E39 E40 E41 E42 E43 E44 E45 E46 E47 E48 E49 E50 E51 E52 E53 E54 E55 E56 E57 E58 F4 F5 F6 F7 F8 F9 F10 F11 F12 F13 F14 F15 F16 F17 F18 F19 F20 F21 F22 F23 F24 F25 F26 F27 F28 F29 F30 F31 F32 F33 F34 F35 F36 F37 F38 F39 F40 F41 F42 F43 F44 F45 F46 F47 F48 F49 F50 F51 F52 F53 F54 F55 F56 F57 F58 G4 G5 G6 G7 G8 G9 G10 G11 G12 G13 G14 G15 G16 G17 G18 G19 G20 G21 G22 G23 G24 G25 G26 G27 G28 G29 G30 G31 G32 G33 G34 G35 G36 G37 G38 G39 G40 G41 G42 G43 G44 G45 G46 G47 G48 G49 G50 G51 G52 G53 G54 G55 G56 G57 G58 H4 H5 H6 H7 H8 H9 H10 H11 H12 H13 H14 H15 H16 H17 H18 H19 H20 H21 H22 H23 H24 H25 H26 H27 H28 H29 H30 H31 H32 H33 H34 H35 H36 H37 H38 H39 H40 H41 H42 H43 H44 H45 H46 H47 H48 H49 H50 H51 H52 H53 H54 H55 H56 H57 H58 I4 I5 I6 I7 I8 I9 I10 I11 I12 I13 I14 I15 I16 I17 I18 I19 I20 I21 I22 I23 I24 I25 I26 I27 I28 I29 I30 I31 I32 I33 I34 I35 I36 I37 I38 I39 I40 I41 I42 I43 I44 I45 I46 I47 I48 I49 I50 I51 I52 I53 I54 I55 I56 I57 I58 J4 J5 J6 J7 J8 J9 J10 J11 J12 J13 J14 J15 J16 J17 J18 J19 J20 J21 J22 J23 J24 J25 J26 J27 J28 J29 J30 J31 J32 J33 J34 J35 J36 J37 J38 J39 J40 J41 J42 J43 J44 J45 J46 J47 J48 J49 J50 J51 J52 J53 J54 J55 J56 J57 J58 K4 K5 K6 K7 K8 K9 K10 K11 K12 K13 K14 K15 K16 K17 K18 K19 K20 K21 K22 K23 K24 K25 K26 K27 K28 K29 K30 K31 K32 K33 K34 K35 K36 K37 K38 K39 K40 K41 K42 K43 K44 K45 K46 K47 K48 K49 K50 K51 K52 K53 K54 K55 K56 K57 K58 L4 L5 L6 L7 L8 L9 L10 L11 L12 L13 L14 L15 L16 L17 L18 L19 L20 L21 L22 L23 L24 L25 L26 L27 L28 L29 L30 L31 L32 L33 L34 L35 L36 L37 L38 L39 L40 L41 L42 L43 L44 L45 L46 L47 L48 L49 L50 L51 L52 L53 L54 L55 L56 L57 L58 M4 M5 M6 M7 M8 M9 M10 M11 M12 M13 M14 M15 M16 M17 M18 M19 M20 M21 M22 M23 M24 M25 M26 M27 M28 M29 M30 M31 M32 M33 M34 M35 M36 M37 M38 M39 M40 M41 M42 M43 M44 M45 M46 M47 M48 M49 M50 M51 M52 M53 M54 M55 M56 M57 M58 N4 N5 N6 N7 N8 N9 N10 N11 N12 N13 N14 N15 N16 N17 N18 N19 N20 N21 N22 N23 N24 N25 N26 N27 N28 N29 N30 N31 N32 N33 N34 N35 N36 N37 N38 N39 N40 N41 N42 N43 N44 N45 N46 N47 N48 N49 N50 N51 N52 N53 N54 N55 N56 N57 N58 O4 O5 O6 O7 O8 O9 O10 O11 O12 O13 O14 O15 O16 O17 O18 O19 O20 O21 O22 O23 O24 O25 O26 O27 O28 O29 O30 O31 O32 O33 O34 O35 O36 O37 O38 O39 O40 O41 O42 O43 O44 O45 O46 O47 O48 O49 O50 O51 O52 O53 O54 O55 O56 O57 O58 P4 P5 P6 P7 P8 P9 P10 P11 P12 P13 P14 P15 P16 P17 P18 P19 P20 P21 P22 P23 P24 P25 P26 P27 P28 P29 P30 P31 P32 P33 P34 P35 P36 P37 P38 P39 P40 P41 P42 P43 P44 P45 P46 P47 P48 P49 P50 P51 P52 P53 P54 P55 P56 P57 P58 Q4 Q5 Q6 Q7 Q8 Q9 Q10 Q11 Q12 Q13 Q14 Q15 Q16 Q17 Q18 Q19 Q20 Q21 Q22 Q23 Q24 Q25 Q26 Q27 Q28 Q29 Q30 Q31 Q32 Q33 Q34 Q35 Q36 Q37 Q38 Q39 Q40 Q41 Q42 Q43 Q44 Q45 Q46 Q47 Q48 Q49 Q50 Q51 Q52 Q53 Q54 Q55 Q56 Q57 Q58 R4 R5 R6 R7 R8 R9 R10 R11 R12 R13 R14 R15 R16 R17 R18 R19 R20 R21 R22 R23 R24 R25 R26 R27 R28 R29 R30 R31 R32 R33 R34 R35 R36 R37 R38 R39 R40 R41 R42 R43 R44 R45 R46 R47 R48 R49 R50 R51 R52 R53 R54 R55 R56 R57 R58 S4 S5 S6 S7 S8 S9 S10 S11 S12 S13 S14 S15 S16 S17 S18 S19 S20 S21 S22 S23 S24 S25 S26 S27 S28 S29 S30 S31 S32 S33 S34 S35 S36 S37 S38 S39 S40 S41 S42 S43 S44 S45 S46 S47 S48 S49 S50 S51 S52 S53 S54 S55 S56 S57 S58 T4 T5 T6 T7 T8 T9 T10 T11 T12 T13 T14 T15 T16 T17 T18 T19 T20 T21 T22 T23 T24 T25 T26 T27 T28 T29 T30 T31 T32 T33 T34 T35 T36 T37 T38 T39 T40 T41 T42 T43 T44 T45 T46 T47 T48 T49 T50 T51 T52 T53 T54 T55 T56 T57 T58 U4 U5 U6 U7 U8 U9 U10 U11 U12 U13 U14 U15 U16 U17 U18 U19 U20 U21 U22 U23 U24 U25 U26 U27 U28 U29 U30 U31 U32 U33 U34 U35 U36 U37 U38 U39 U40 U41 U42 U43 U44 U45 U46 U47 U48 U49 U50 U51 U52 U53 U54 U55 U56 U57 U58 V4 V5 V6 V7 V8 V9 V10 V11 V12 V13 V14 V15 V16 V17 V18 V19 V20 V21 V22 V23 V24 V25 V26 V27 V28 V29 V30 V31 V32 V33 V34 V35 V36 V37 V38 V39 V40 V41 V42 V43 V44 V45 V46 V47 V48 V49 V50 V51 V52 V53 V54 V55 V56 V57 V58 W4 W5 W6 W7 W8 W9 W10 W11 W12 W13 W14 W15 W16 W17 W18 W19 W20 W21 W22 W23 W24 W25 W26 W27 W28 W29 W30 W31 W32 W33 W34 W35 W36 W37 W38 W39 W40 W41 W42 W43 W44 W45 W46 W47 W48 W49 W50 W51 W52 W53 W54 W55 W56 W57 W58" showDropDown="0" showInputMessage="1" showErrorMessage="0" allowBlank="1" promptTitle="Availability" prompt="R = Reserved for event&#10;Blank = Not reserved" type="list">
      <formula1>"R"</formula1>
    </dataValidation>
  </dataValidations>
  <pageMargins left="0.75" right="0.75" top="1" bottom="1" header="0.5" footer="0.5"/>
</worksheet>
</file>

<file path=xl/worksheets/sheet5.xml><?xml version="1.0" encoding="utf-8"?>
<worksheet xmlns="http://schemas.openxmlformats.org/spreadsheetml/2006/main">
  <sheetPr>
    <tabColor rgb="002563EB"/>
    <outlinePr summaryBelow="1" summaryRight="1"/>
    <pageSetUpPr/>
  </sheetPr>
  <dimension ref="A1:M105"/>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7" customWidth="1" style="107" min="1" max="1"/>
    <col width="7" customWidth="1" style="107" min="2" max="2"/>
    <col width="14" customWidth="1" style="107" min="3" max="3"/>
    <col width="14" customWidth="1" style="107" min="4" max="4"/>
    <col width="14" customWidth="1" style="107" min="5" max="5"/>
    <col width="14" customWidth="1" style="107" min="6" max="6"/>
    <col width="14" customWidth="1" style="107" min="7" max="7"/>
    <col width="14" customWidth="1" style="107" min="8" max="8"/>
    <col width="14" customWidth="1" style="107" min="9" max="9"/>
    <col width="14" customWidth="1" style="107" min="10" max="10"/>
    <col width="14" customWidth="1" style="107" min="11" max="11"/>
    <col width="14" customWidth="1" style="107" min="12" max="12"/>
    <col width="14" customWidth="1" style="107" min="13" max="13"/>
  </cols>
  <sheetData>
    <row r="1" ht="36" customHeight="1" s="107">
      <c r="A1" s="256" t="inlineStr">
        <is>
          <t>ROOM MANAGEMENT — Auto-Generated (Do Not Edit — Run Macro to Refresh)</t>
        </is>
      </c>
      <c r="B1" s="164" t="n"/>
      <c r="C1" s="164" t="n"/>
      <c r="D1" s="164" t="n"/>
      <c r="E1" s="164" t="n"/>
      <c r="F1" s="164" t="n"/>
      <c r="G1" s="164" t="n"/>
      <c r="H1" s="164" t="n"/>
      <c r="I1" s="164" t="n"/>
      <c r="J1" s="164" t="n"/>
      <c r="K1" s="164" t="n"/>
      <c r="L1" s="164" t="n"/>
      <c r="M1" s="164" t="n"/>
    </row>
    <row r="2" ht="36" customHeight="1" s="107">
      <c r="A2" s="145" t="inlineStr">
        <is>
          <t>Day</t>
        </is>
      </c>
      <c r="B2" s="145" t="inlineStr">
        <is>
          <t>Time</t>
        </is>
      </c>
      <c r="C2" s="257" t="inlineStr">
        <is>
          <t>Main Hall
(200 pax)</t>
        </is>
      </c>
      <c r="D2" s="257" t="inlineStr">
        <is>
          <t>Room A1
(50 pax)</t>
        </is>
      </c>
      <c r="E2" s="257" t="inlineStr">
        <is>
          <t>Room B1
(55 pax)</t>
        </is>
      </c>
      <c r="F2" s="257" t="inlineStr">
        <is>
          <t>Room C1
(45 pax)</t>
        </is>
      </c>
      <c r="G2" s="257" t="inlineStr">
        <is>
          <t>Room D1
(40 pax)</t>
        </is>
      </c>
      <c r="H2" s="257" t="inlineStr">
        <is>
          <t>Atrium
(250 pax)</t>
        </is>
      </c>
      <c r="I2" s="258" t="inlineStr">
        <is>
          <t>Room E1
(35 pax)</t>
        </is>
      </c>
      <c r="J2" s="258" t="inlineStr">
        <is>
          <t>Room E2
(30 pax)</t>
        </is>
      </c>
      <c r="K2" s="258" t="inlineStr">
        <is>
          <t>Room F1
(25 pax)</t>
        </is>
      </c>
      <c r="L2" s="258" t="inlineStr">
        <is>
          <t>Boardroom G
(15 pax)</t>
        </is>
      </c>
      <c r="M2" s="258" t="inlineStr">
        <is>
          <t>Terrace
(60 pax)</t>
        </is>
      </c>
    </row>
    <row r="3" ht="20" customHeight="1" s="107">
      <c r="A3" s="151" t="inlineStr">
        <is>
          <t>D1</t>
        </is>
      </c>
      <c r="B3" s="152" t="inlineStr">
        <is>
          <t>08:00</t>
        </is>
      </c>
      <c r="C3" s="259" t="n"/>
      <c r="D3" s="259" t="n"/>
      <c r="E3" s="259" t="n"/>
      <c r="F3" s="259" t="n"/>
      <c r="G3" s="259" t="n"/>
      <c r="H3" s="259" t="n"/>
      <c r="I3" s="259" t="n"/>
      <c r="J3" s="259" t="n"/>
      <c r="K3" s="259" t="n"/>
      <c r="L3" s="259" t="n"/>
      <c r="M3" s="259" t="n"/>
    </row>
    <row r="4" ht="20" customHeight="1" s="107">
      <c r="A4" s="155" t="inlineStr">
        <is>
          <t>D1</t>
        </is>
      </c>
      <c r="B4" s="156" t="inlineStr">
        <is>
          <t>08:30</t>
        </is>
      </c>
      <c r="C4" s="260" t="n"/>
      <c r="D4" s="260" t="n"/>
      <c r="E4" s="260" t="n"/>
      <c r="F4" s="260" t="n"/>
      <c r="G4" s="260" t="n"/>
      <c r="H4" s="260" t="n"/>
      <c r="I4" s="260" t="n"/>
      <c r="J4" s="260" t="n"/>
      <c r="K4" s="260" t="n"/>
      <c r="L4" s="260" t="n"/>
      <c r="M4" s="260" t="n"/>
    </row>
    <row r="5" ht="20" customHeight="1" s="107">
      <c r="A5" s="159" t="inlineStr">
        <is>
          <t>D1</t>
        </is>
      </c>
      <c r="B5" s="160" t="inlineStr">
        <is>
          <t>09:00</t>
        </is>
      </c>
      <c r="C5" s="260" t="n"/>
      <c r="D5" s="260" t="n"/>
      <c r="E5" s="260" t="n"/>
      <c r="F5" s="260" t="n"/>
      <c r="G5" s="260" t="n"/>
      <c r="H5" s="260" t="n"/>
      <c r="I5" s="260" t="n"/>
      <c r="J5" s="260" t="n"/>
      <c r="K5" s="260" t="n"/>
      <c r="L5" s="260" t="n"/>
      <c r="M5" s="260" t="n"/>
    </row>
    <row r="6" ht="20" customHeight="1" s="107">
      <c r="A6" s="155" t="inlineStr">
        <is>
          <t>D1</t>
        </is>
      </c>
      <c r="B6" s="156" t="inlineStr">
        <is>
          <t>09:30</t>
        </is>
      </c>
      <c r="C6" s="260" t="n"/>
      <c r="D6" s="260" t="n"/>
      <c r="E6" s="260" t="n"/>
      <c r="F6" s="260" t="n"/>
      <c r="G6" s="260" t="n"/>
      <c r="H6" s="260" t="n"/>
      <c r="I6" s="260" t="n"/>
      <c r="J6" s="260" t="n"/>
      <c r="K6" s="260" t="n"/>
      <c r="L6" s="260" t="n"/>
      <c r="M6" s="260" t="n"/>
    </row>
    <row r="7" ht="20" customHeight="1" s="107">
      <c r="A7" s="159" t="inlineStr">
        <is>
          <t>D1</t>
        </is>
      </c>
      <c r="B7" s="160" t="inlineStr">
        <is>
          <t>10:00</t>
        </is>
      </c>
      <c r="C7" s="260" t="n"/>
      <c r="D7" s="260" t="n"/>
      <c r="E7" s="260" t="n"/>
      <c r="F7" s="260" t="n"/>
      <c r="G7" s="260" t="n"/>
      <c r="H7" s="260" t="n"/>
      <c r="I7" s="260" t="n"/>
      <c r="J7" s="260" t="n"/>
      <c r="K7" s="260" t="n"/>
      <c r="L7" s="260" t="n"/>
      <c r="M7" s="260" t="n"/>
    </row>
    <row r="8" ht="20" customHeight="1" s="107">
      <c r="A8" s="155" t="inlineStr">
        <is>
          <t>D1</t>
        </is>
      </c>
      <c r="B8" s="156" t="inlineStr">
        <is>
          <t>10:30</t>
        </is>
      </c>
      <c r="C8" s="260" t="n"/>
      <c r="D8" s="260" t="n"/>
      <c r="E8" s="260" t="n"/>
      <c r="F8" s="260" t="n"/>
      <c r="G8" s="260" t="n"/>
      <c r="H8" s="260" t="n"/>
      <c r="I8" s="260" t="n"/>
      <c r="J8" s="260" t="n"/>
      <c r="K8" s="260" t="n"/>
      <c r="L8" s="260" t="n"/>
      <c r="M8" s="260" t="n"/>
    </row>
    <row r="9" ht="20" customHeight="1" s="107">
      <c r="A9" s="159" t="inlineStr">
        <is>
          <t>D1</t>
        </is>
      </c>
      <c r="B9" s="160" t="inlineStr">
        <is>
          <t>11:00</t>
        </is>
      </c>
      <c r="C9" s="260" t="n"/>
      <c r="D9" s="260" t="n"/>
      <c r="E9" s="260" t="n"/>
      <c r="F9" s="260" t="n"/>
      <c r="G9" s="260" t="n"/>
      <c r="H9" s="260" t="n"/>
      <c r="I9" s="260" t="n"/>
      <c r="J9" s="260" t="n"/>
      <c r="K9" s="260" t="n"/>
      <c r="L9" s="260" t="n"/>
      <c r="M9" s="260" t="n"/>
    </row>
    <row r="10" ht="20" customHeight="1" s="107">
      <c r="A10" s="155" t="inlineStr">
        <is>
          <t>D1</t>
        </is>
      </c>
      <c r="B10" s="156" t="inlineStr">
        <is>
          <t>11:30</t>
        </is>
      </c>
      <c r="C10" s="260" t="n"/>
      <c r="D10" s="260" t="n"/>
      <c r="E10" s="260" t="n"/>
      <c r="F10" s="260" t="n"/>
      <c r="G10" s="260" t="n"/>
      <c r="H10" s="260" t="n"/>
      <c r="I10" s="260" t="n"/>
      <c r="J10" s="260" t="n"/>
      <c r="K10" s="260" t="n"/>
      <c r="L10" s="260" t="n"/>
      <c r="M10" s="260" t="n"/>
    </row>
    <row r="11" ht="20" customHeight="1" s="107">
      <c r="A11" s="159" t="inlineStr">
        <is>
          <t>D1</t>
        </is>
      </c>
      <c r="B11" s="160" t="inlineStr">
        <is>
          <t>12:00</t>
        </is>
      </c>
      <c r="C11" s="260" t="n"/>
      <c r="D11" s="260" t="n"/>
      <c r="E11" s="260" t="n"/>
      <c r="F11" s="260" t="n"/>
      <c r="G11" s="260" t="n"/>
      <c r="H11" s="260" t="n"/>
      <c r="I11" s="260" t="n"/>
      <c r="J11" s="260" t="n"/>
      <c r="K11" s="260" t="n"/>
      <c r="L11" s="260" t="n"/>
      <c r="M11" s="260" t="n"/>
    </row>
    <row r="12" ht="20" customHeight="1" s="107">
      <c r="A12" s="155" t="inlineStr">
        <is>
          <t>D1</t>
        </is>
      </c>
      <c r="B12" s="156" t="inlineStr">
        <is>
          <t>12:30</t>
        </is>
      </c>
      <c r="C12" s="260" t="n"/>
      <c r="D12" s="260" t="n"/>
      <c r="E12" s="260" t="n"/>
      <c r="F12" s="260" t="n"/>
      <c r="G12" s="260" t="n"/>
      <c r="H12" s="260" t="n"/>
      <c r="I12" s="260" t="n"/>
      <c r="J12" s="260" t="n"/>
      <c r="K12" s="260" t="n"/>
      <c r="L12" s="260" t="n"/>
      <c r="M12" s="260" t="n"/>
    </row>
    <row r="13" ht="20" customHeight="1" s="107">
      <c r="A13" s="159" t="inlineStr">
        <is>
          <t>D1</t>
        </is>
      </c>
      <c r="B13" s="160" t="inlineStr">
        <is>
          <t>13:00</t>
        </is>
      </c>
      <c r="C13" s="260" t="n"/>
      <c r="D13" s="260" t="n"/>
      <c r="E13" s="260" t="n"/>
      <c r="F13" s="260" t="n"/>
      <c r="G13" s="260" t="n"/>
      <c r="H13" s="260" t="n"/>
      <c r="I13" s="260" t="n"/>
      <c r="J13" s="260" t="n"/>
      <c r="K13" s="260" t="n"/>
      <c r="L13" s="260" t="n"/>
      <c r="M13" s="260" t="n"/>
    </row>
    <row r="14" ht="20" customHeight="1" s="107">
      <c r="A14" s="155" t="inlineStr">
        <is>
          <t>D1</t>
        </is>
      </c>
      <c r="B14" s="156" t="inlineStr">
        <is>
          <t>13:30</t>
        </is>
      </c>
      <c r="C14" s="260" t="n"/>
      <c r="D14" s="260" t="n"/>
      <c r="E14" s="260" t="n"/>
      <c r="F14" s="260" t="n"/>
      <c r="G14" s="260" t="n"/>
      <c r="H14" s="260" t="n"/>
      <c r="I14" s="260" t="n"/>
      <c r="J14" s="260" t="n"/>
      <c r="K14" s="260" t="n"/>
      <c r="L14" s="260" t="n"/>
      <c r="M14" s="260" t="n"/>
    </row>
    <row r="15" ht="20" customHeight="1" s="107">
      <c r="A15" s="159" t="inlineStr">
        <is>
          <t>D1</t>
        </is>
      </c>
      <c r="B15" s="160" t="inlineStr">
        <is>
          <t>14:00</t>
        </is>
      </c>
      <c r="C15" s="260" t="n"/>
      <c r="D15" s="260" t="n"/>
      <c r="E15" s="260" t="n"/>
      <c r="F15" s="260" t="n"/>
      <c r="G15" s="260" t="n"/>
      <c r="H15" s="260" t="n"/>
      <c r="I15" s="260" t="n"/>
      <c r="J15" s="260" t="n"/>
      <c r="K15" s="260" t="n"/>
      <c r="L15" s="260" t="n"/>
      <c r="M15" s="260" t="n"/>
    </row>
    <row r="16" ht="20" customHeight="1" s="107">
      <c r="A16" s="155" t="inlineStr">
        <is>
          <t>D1</t>
        </is>
      </c>
      <c r="B16" s="156" t="inlineStr">
        <is>
          <t>14:30</t>
        </is>
      </c>
      <c r="C16" s="260" t="n"/>
      <c r="D16" s="260" t="n"/>
      <c r="E16" s="260" t="n"/>
      <c r="F16" s="260" t="n"/>
      <c r="G16" s="260" t="n"/>
      <c r="H16" s="260" t="n"/>
      <c r="I16" s="260" t="n"/>
      <c r="J16" s="260" t="n"/>
      <c r="K16" s="260" t="n"/>
      <c r="L16" s="260" t="n"/>
      <c r="M16" s="260" t="n"/>
    </row>
    <row r="17" ht="20" customHeight="1" s="107">
      <c r="A17" s="159" t="inlineStr">
        <is>
          <t>D1</t>
        </is>
      </c>
      <c r="B17" s="160" t="inlineStr">
        <is>
          <t>15:00</t>
        </is>
      </c>
      <c r="C17" s="260" t="n"/>
      <c r="D17" s="260" t="n"/>
      <c r="E17" s="260" t="n"/>
      <c r="F17" s="260" t="n"/>
      <c r="G17" s="260" t="n"/>
      <c r="H17" s="260" t="n"/>
      <c r="I17" s="260" t="n"/>
      <c r="J17" s="260" t="n"/>
      <c r="K17" s="260" t="n"/>
      <c r="L17" s="260" t="n"/>
      <c r="M17" s="260" t="n"/>
    </row>
    <row r="18" ht="20" customHeight="1" s="107">
      <c r="A18" s="155" t="inlineStr">
        <is>
          <t>D1</t>
        </is>
      </c>
      <c r="B18" s="156" t="inlineStr">
        <is>
          <t>15:30</t>
        </is>
      </c>
      <c r="C18" s="260" t="n"/>
      <c r="D18" s="260" t="n"/>
      <c r="E18" s="260" t="n"/>
      <c r="F18" s="260" t="n"/>
      <c r="G18" s="260" t="n"/>
      <c r="H18" s="260" t="n"/>
      <c r="I18" s="260" t="n"/>
      <c r="J18" s="260" t="n"/>
      <c r="K18" s="260" t="n"/>
      <c r="L18" s="260" t="n"/>
      <c r="M18" s="260" t="n"/>
    </row>
    <row r="19" ht="20" customHeight="1" s="107">
      <c r="A19" s="159" t="inlineStr">
        <is>
          <t>D1</t>
        </is>
      </c>
      <c r="B19" s="160" t="inlineStr">
        <is>
          <t>16:00</t>
        </is>
      </c>
      <c r="C19" s="260" t="n"/>
      <c r="D19" s="260" t="n"/>
      <c r="E19" s="260" t="n"/>
      <c r="F19" s="260" t="n"/>
      <c r="G19" s="260" t="n"/>
      <c r="H19" s="260" t="n"/>
      <c r="I19" s="260" t="n"/>
      <c r="J19" s="260" t="n"/>
      <c r="K19" s="260" t="n"/>
      <c r="L19" s="260" t="n"/>
      <c r="M19" s="260" t="n"/>
    </row>
    <row r="20" ht="20" customHeight="1" s="107">
      <c r="A20" s="155" t="inlineStr">
        <is>
          <t>D1</t>
        </is>
      </c>
      <c r="B20" s="156" t="inlineStr">
        <is>
          <t>16:30</t>
        </is>
      </c>
      <c r="C20" s="260" t="n"/>
      <c r="D20" s="260" t="n"/>
      <c r="E20" s="260" t="n"/>
      <c r="F20" s="260" t="n"/>
      <c r="G20" s="260" t="n"/>
      <c r="H20" s="260" t="n"/>
      <c r="I20" s="260" t="n"/>
      <c r="J20" s="260" t="n"/>
      <c r="K20" s="260" t="n"/>
      <c r="L20" s="260" t="n"/>
      <c r="M20" s="260" t="n"/>
    </row>
    <row r="21" ht="20" customHeight="1" s="107">
      <c r="A21" s="159" t="inlineStr">
        <is>
          <t>D1</t>
        </is>
      </c>
      <c r="B21" s="160" t="inlineStr">
        <is>
          <t>17:00</t>
        </is>
      </c>
      <c r="C21" s="260" t="n"/>
      <c r="D21" s="260" t="n"/>
      <c r="E21" s="260" t="n"/>
      <c r="F21" s="260" t="n"/>
      <c r="G21" s="260" t="n"/>
      <c r="H21" s="260" t="n"/>
      <c r="I21" s="260" t="n"/>
      <c r="J21" s="260" t="n"/>
      <c r="K21" s="260" t="n"/>
      <c r="L21" s="260" t="n"/>
      <c r="M21" s="260" t="n"/>
    </row>
    <row r="22" ht="20" customHeight="1" s="107">
      <c r="A22" s="155" t="inlineStr">
        <is>
          <t>D1</t>
        </is>
      </c>
      <c r="B22" s="156" t="inlineStr">
        <is>
          <t>17:30</t>
        </is>
      </c>
      <c r="C22" s="260" t="n"/>
      <c r="D22" s="260" t="n"/>
      <c r="E22" s="260" t="n"/>
      <c r="F22" s="260" t="n"/>
      <c r="G22" s="260" t="n"/>
      <c r="H22" s="260" t="n"/>
      <c r="I22" s="260" t="n"/>
      <c r="J22" s="260" t="n"/>
      <c r="K22" s="260" t="n"/>
      <c r="L22" s="260" t="n"/>
      <c r="M22" s="260" t="n"/>
    </row>
    <row r="23" ht="20" customHeight="1" s="107">
      <c r="A23" s="151" t="inlineStr">
        <is>
          <t>D2</t>
        </is>
      </c>
      <c r="B23" s="152" t="inlineStr">
        <is>
          <t>08:00</t>
        </is>
      </c>
      <c r="C23" s="259" t="n"/>
      <c r="D23" s="259" t="n"/>
      <c r="E23" s="259" t="n"/>
      <c r="F23" s="259" t="n"/>
      <c r="G23" s="259" t="n"/>
      <c r="H23" s="259" t="n"/>
      <c r="I23" s="259" t="n"/>
      <c r="J23" s="259" t="n"/>
      <c r="K23" s="259" t="n"/>
      <c r="L23" s="259" t="n"/>
      <c r="M23" s="259" t="n"/>
    </row>
    <row r="24" ht="20" customHeight="1" s="107">
      <c r="A24" s="155" t="inlineStr">
        <is>
          <t>D2</t>
        </is>
      </c>
      <c r="B24" s="156" t="inlineStr">
        <is>
          <t>08:30</t>
        </is>
      </c>
      <c r="C24" s="260" t="n"/>
      <c r="D24" s="260" t="n"/>
      <c r="E24" s="260" t="n"/>
      <c r="F24" s="260" t="n"/>
      <c r="G24" s="260" t="n"/>
      <c r="H24" s="260" t="n"/>
      <c r="I24" s="260" t="n"/>
      <c r="J24" s="260" t="n"/>
      <c r="K24" s="260" t="n"/>
      <c r="L24" s="260" t="n"/>
      <c r="M24" s="260" t="n"/>
    </row>
    <row r="25" ht="20" customHeight="1" s="107">
      <c r="A25" s="159" t="inlineStr">
        <is>
          <t>D2</t>
        </is>
      </c>
      <c r="B25" s="160" t="inlineStr">
        <is>
          <t>09:00</t>
        </is>
      </c>
      <c r="C25" s="260" t="n"/>
      <c r="D25" s="260" t="n"/>
      <c r="E25" s="260" t="n"/>
      <c r="F25" s="260" t="n"/>
      <c r="G25" s="260" t="n"/>
      <c r="H25" s="260" t="n"/>
      <c r="I25" s="260" t="n"/>
      <c r="J25" s="260" t="n"/>
      <c r="K25" s="260" t="n"/>
      <c r="L25" s="260" t="n"/>
      <c r="M25" s="260" t="n"/>
    </row>
    <row r="26" ht="20" customHeight="1" s="107">
      <c r="A26" s="155" t="inlineStr">
        <is>
          <t>D2</t>
        </is>
      </c>
      <c r="B26" s="156" t="inlineStr">
        <is>
          <t>09:30</t>
        </is>
      </c>
      <c r="C26" s="260" t="n"/>
      <c r="D26" s="260" t="n"/>
      <c r="E26" s="260" t="n"/>
      <c r="F26" s="260" t="n"/>
      <c r="G26" s="260" t="n"/>
      <c r="H26" s="260" t="n"/>
      <c r="I26" s="260" t="n"/>
      <c r="J26" s="260" t="n"/>
      <c r="K26" s="260" t="n"/>
      <c r="L26" s="260" t="n"/>
      <c r="M26" s="260" t="n"/>
    </row>
    <row r="27" ht="20" customHeight="1" s="107">
      <c r="A27" s="159" t="inlineStr">
        <is>
          <t>D2</t>
        </is>
      </c>
      <c r="B27" s="160" t="inlineStr">
        <is>
          <t>10:00</t>
        </is>
      </c>
      <c r="C27" s="260" t="n"/>
      <c r="D27" s="260" t="n"/>
      <c r="E27" s="260" t="n"/>
      <c r="F27" s="260" t="n"/>
      <c r="G27" s="260" t="n"/>
      <c r="H27" s="260" t="n"/>
      <c r="I27" s="260" t="n"/>
      <c r="J27" s="260" t="n"/>
      <c r="K27" s="260" t="n"/>
      <c r="L27" s="260" t="n"/>
      <c r="M27" s="260" t="n"/>
    </row>
    <row r="28" ht="20" customHeight="1" s="107">
      <c r="A28" s="155" t="inlineStr">
        <is>
          <t>D2</t>
        </is>
      </c>
      <c r="B28" s="156" t="inlineStr">
        <is>
          <t>10:30</t>
        </is>
      </c>
      <c r="C28" s="260" t="n"/>
      <c r="D28" s="260" t="n"/>
      <c r="E28" s="260" t="n"/>
      <c r="F28" s="260" t="n"/>
      <c r="G28" s="260" t="n"/>
      <c r="H28" s="260" t="n"/>
      <c r="I28" s="260" t="n"/>
      <c r="J28" s="260" t="n"/>
      <c r="K28" s="260" t="n"/>
      <c r="L28" s="260" t="n"/>
      <c r="M28" s="260" t="n"/>
    </row>
    <row r="29" ht="20" customHeight="1" s="107">
      <c r="A29" s="159" t="inlineStr">
        <is>
          <t>D2</t>
        </is>
      </c>
      <c r="B29" s="160" t="inlineStr">
        <is>
          <t>11:00</t>
        </is>
      </c>
      <c r="C29" s="260" t="n"/>
      <c r="D29" s="260" t="n"/>
      <c r="E29" s="260" t="n"/>
      <c r="F29" s="260" t="n"/>
      <c r="G29" s="260" t="n"/>
      <c r="H29" s="260" t="n"/>
      <c r="I29" s="260" t="n"/>
      <c r="J29" s="260" t="n"/>
      <c r="K29" s="260" t="n"/>
      <c r="L29" s="260" t="n"/>
      <c r="M29" s="260" t="n"/>
    </row>
    <row r="30" ht="20" customHeight="1" s="107">
      <c r="A30" s="155" t="inlineStr">
        <is>
          <t>D2</t>
        </is>
      </c>
      <c r="B30" s="156" t="inlineStr">
        <is>
          <t>11:30</t>
        </is>
      </c>
      <c r="C30" s="260" t="n"/>
      <c r="D30" s="260" t="n"/>
      <c r="E30" s="260" t="n"/>
      <c r="F30" s="260" t="n"/>
      <c r="G30" s="260" t="n"/>
      <c r="H30" s="260" t="n"/>
      <c r="I30" s="260" t="n"/>
      <c r="J30" s="260" t="n"/>
      <c r="K30" s="260" t="n"/>
      <c r="L30" s="260" t="n"/>
      <c r="M30" s="260" t="n"/>
    </row>
    <row r="31" ht="20" customHeight="1" s="107">
      <c r="A31" s="159" t="inlineStr">
        <is>
          <t>D2</t>
        </is>
      </c>
      <c r="B31" s="160" t="inlineStr">
        <is>
          <t>12:00</t>
        </is>
      </c>
      <c r="C31" s="260" t="n"/>
      <c r="D31" s="260" t="n"/>
      <c r="E31" s="260" t="n"/>
      <c r="F31" s="260" t="n"/>
      <c r="G31" s="260" t="n"/>
      <c r="H31" s="260" t="n"/>
      <c r="I31" s="260" t="n"/>
      <c r="J31" s="260" t="n"/>
      <c r="K31" s="260" t="n"/>
      <c r="L31" s="260" t="n"/>
      <c r="M31" s="260" t="n"/>
    </row>
    <row r="32" ht="20" customHeight="1" s="107">
      <c r="A32" s="155" t="inlineStr">
        <is>
          <t>D2</t>
        </is>
      </c>
      <c r="B32" s="156" t="inlineStr">
        <is>
          <t>12:30</t>
        </is>
      </c>
      <c r="C32" s="260" t="n"/>
      <c r="D32" s="260" t="n"/>
      <c r="E32" s="260" t="n"/>
      <c r="F32" s="260" t="n"/>
      <c r="G32" s="260" t="n"/>
      <c r="H32" s="260" t="n"/>
      <c r="I32" s="260" t="n"/>
      <c r="J32" s="260" t="n"/>
      <c r="K32" s="260" t="n"/>
      <c r="L32" s="260" t="n"/>
      <c r="M32" s="260" t="n"/>
    </row>
    <row r="33" ht="20" customHeight="1" s="107">
      <c r="A33" s="159" t="inlineStr">
        <is>
          <t>D2</t>
        </is>
      </c>
      <c r="B33" s="160" t="inlineStr">
        <is>
          <t>13:00</t>
        </is>
      </c>
      <c r="C33" s="260" t="n"/>
      <c r="D33" s="260" t="n"/>
      <c r="E33" s="260" t="n"/>
      <c r="F33" s="260" t="n"/>
      <c r="G33" s="260" t="n"/>
      <c r="H33" s="260" t="n"/>
      <c r="I33" s="260" t="n"/>
      <c r="J33" s="260" t="n"/>
      <c r="K33" s="260" t="n"/>
      <c r="L33" s="260" t="n"/>
      <c r="M33" s="260" t="n"/>
    </row>
    <row r="34" ht="20" customHeight="1" s="107">
      <c r="A34" s="155" t="inlineStr">
        <is>
          <t>D2</t>
        </is>
      </c>
      <c r="B34" s="156" t="inlineStr">
        <is>
          <t>13:30</t>
        </is>
      </c>
      <c r="C34" s="260" t="n"/>
      <c r="D34" s="260" t="n"/>
      <c r="E34" s="260" t="n"/>
      <c r="F34" s="260" t="n"/>
      <c r="G34" s="260" t="n"/>
      <c r="H34" s="260" t="n"/>
      <c r="I34" s="260" t="n"/>
      <c r="J34" s="260" t="n"/>
      <c r="K34" s="260" t="n"/>
      <c r="L34" s="260" t="n"/>
      <c r="M34" s="260" t="n"/>
    </row>
    <row r="35" ht="20" customHeight="1" s="107">
      <c r="A35" s="159" t="inlineStr">
        <is>
          <t>D2</t>
        </is>
      </c>
      <c r="B35" s="160" t="inlineStr">
        <is>
          <t>14:00</t>
        </is>
      </c>
      <c r="C35" s="260" t="n"/>
      <c r="D35" s="260" t="n"/>
      <c r="E35" s="260" t="n"/>
      <c r="F35" s="260" t="n"/>
      <c r="G35" s="260" t="n"/>
      <c r="H35" s="260" t="n"/>
      <c r="I35" s="260" t="n"/>
      <c r="J35" s="260" t="n"/>
      <c r="K35" s="260" t="n"/>
      <c r="L35" s="260" t="n"/>
      <c r="M35" s="260" t="n"/>
    </row>
    <row r="36" ht="20" customHeight="1" s="107">
      <c r="A36" s="155" t="inlineStr">
        <is>
          <t>D2</t>
        </is>
      </c>
      <c r="B36" s="156" t="inlineStr">
        <is>
          <t>14:30</t>
        </is>
      </c>
      <c r="C36" s="260" t="n"/>
      <c r="D36" s="260" t="n"/>
      <c r="E36" s="260" t="n"/>
      <c r="F36" s="260" t="n"/>
      <c r="G36" s="260" t="n"/>
      <c r="H36" s="260" t="n"/>
      <c r="I36" s="260" t="n"/>
      <c r="J36" s="260" t="n"/>
      <c r="K36" s="260" t="n"/>
      <c r="L36" s="260" t="n"/>
      <c r="M36" s="260" t="n"/>
    </row>
    <row r="37" ht="20" customHeight="1" s="107">
      <c r="A37" s="159" t="inlineStr">
        <is>
          <t>D2</t>
        </is>
      </c>
      <c r="B37" s="160" t="inlineStr">
        <is>
          <t>15:00</t>
        </is>
      </c>
      <c r="C37" s="260" t="n"/>
      <c r="D37" s="260" t="n"/>
      <c r="E37" s="260" t="n"/>
      <c r="F37" s="260" t="n"/>
      <c r="G37" s="260" t="n"/>
      <c r="H37" s="260" t="n"/>
      <c r="I37" s="260" t="n"/>
      <c r="J37" s="260" t="n"/>
      <c r="K37" s="260" t="n"/>
      <c r="L37" s="260" t="n"/>
      <c r="M37" s="260" t="n"/>
    </row>
    <row r="38" ht="20" customHeight="1" s="107">
      <c r="A38" s="155" t="inlineStr">
        <is>
          <t>D2</t>
        </is>
      </c>
      <c r="B38" s="156" t="inlineStr">
        <is>
          <t>15:30</t>
        </is>
      </c>
      <c r="C38" s="260" t="n"/>
      <c r="D38" s="260" t="n"/>
      <c r="E38" s="260" t="n"/>
      <c r="F38" s="260" t="n"/>
      <c r="G38" s="260" t="n"/>
      <c r="H38" s="260" t="n"/>
      <c r="I38" s="260" t="n"/>
      <c r="J38" s="260" t="n"/>
      <c r="K38" s="260" t="n"/>
      <c r="L38" s="260" t="n"/>
      <c r="M38" s="260" t="n"/>
    </row>
    <row r="39" ht="20" customHeight="1" s="107">
      <c r="A39" s="159" t="inlineStr">
        <is>
          <t>D2</t>
        </is>
      </c>
      <c r="B39" s="160" t="inlineStr">
        <is>
          <t>16:00</t>
        </is>
      </c>
      <c r="C39" s="260" t="n"/>
      <c r="D39" s="260" t="n"/>
      <c r="E39" s="260" t="n"/>
      <c r="F39" s="260" t="n"/>
      <c r="G39" s="260" t="n"/>
      <c r="H39" s="260" t="n"/>
      <c r="I39" s="260" t="n"/>
      <c r="J39" s="260" t="n"/>
      <c r="K39" s="260" t="n"/>
      <c r="L39" s="260" t="n"/>
      <c r="M39" s="260" t="n"/>
    </row>
    <row r="40" ht="20" customHeight="1" s="107">
      <c r="A40" s="155" t="inlineStr">
        <is>
          <t>D2</t>
        </is>
      </c>
      <c r="B40" s="156" t="inlineStr">
        <is>
          <t>16:30</t>
        </is>
      </c>
      <c r="C40" s="260" t="n"/>
      <c r="D40" s="260" t="n"/>
      <c r="E40" s="260" t="n"/>
      <c r="F40" s="260" t="n"/>
      <c r="G40" s="260" t="n"/>
      <c r="H40" s="260" t="n"/>
      <c r="I40" s="260" t="n"/>
      <c r="J40" s="260" t="n"/>
      <c r="K40" s="260" t="n"/>
      <c r="L40" s="260" t="n"/>
      <c r="M40" s="260" t="n"/>
    </row>
    <row r="41" ht="20" customHeight="1" s="107">
      <c r="A41" s="159" t="inlineStr">
        <is>
          <t>D2</t>
        </is>
      </c>
      <c r="B41" s="160" t="inlineStr">
        <is>
          <t>17:00</t>
        </is>
      </c>
      <c r="C41" s="260" t="n"/>
      <c r="D41" s="260" t="n"/>
      <c r="E41" s="260" t="n"/>
      <c r="F41" s="260" t="n"/>
      <c r="G41" s="260" t="n"/>
      <c r="H41" s="260" t="n"/>
      <c r="I41" s="260" t="n"/>
      <c r="J41" s="260" t="n"/>
      <c r="K41" s="260" t="n"/>
      <c r="L41" s="260" t="n"/>
      <c r="M41" s="260" t="n"/>
    </row>
    <row r="42" ht="20" customHeight="1" s="107">
      <c r="A42" s="155" t="inlineStr">
        <is>
          <t>D2</t>
        </is>
      </c>
      <c r="B42" s="156" t="inlineStr">
        <is>
          <t>17:30</t>
        </is>
      </c>
      <c r="C42" s="260" t="n"/>
      <c r="D42" s="260" t="n"/>
      <c r="E42" s="260" t="n"/>
      <c r="F42" s="260" t="n"/>
      <c r="G42" s="260" t="n"/>
      <c r="H42" s="260" t="n"/>
      <c r="I42" s="260" t="n"/>
      <c r="J42" s="260" t="n"/>
      <c r="K42" s="260" t="n"/>
      <c r="L42" s="260" t="n"/>
      <c r="M42" s="260" t="n"/>
    </row>
    <row r="43" ht="20" customHeight="1" s="107">
      <c r="A43" s="151" t="inlineStr">
        <is>
          <t>D3</t>
        </is>
      </c>
      <c r="B43" s="152" t="inlineStr">
        <is>
          <t>08:00</t>
        </is>
      </c>
      <c r="C43" s="259" t="n"/>
      <c r="D43" s="259" t="n"/>
      <c r="E43" s="259" t="n"/>
      <c r="F43" s="259" t="n"/>
      <c r="G43" s="259" t="n"/>
      <c r="H43" s="259" t="n"/>
      <c r="I43" s="259" t="n"/>
      <c r="J43" s="259" t="n"/>
      <c r="K43" s="259" t="n"/>
      <c r="L43" s="259" t="n"/>
      <c r="M43" s="259" t="n"/>
    </row>
    <row r="44" ht="20" customHeight="1" s="107">
      <c r="A44" s="155" t="inlineStr">
        <is>
          <t>D3</t>
        </is>
      </c>
      <c r="B44" s="156" t="inlineStr">
        <is>
          <t>08:30</t>
        </is>
      </c>
      <c r="C44" s="260" t="n"/>
      <c r="D44" s="260" t="n"/>
      <c r="E44" s="260" t="n"/>
      <c r="F44" s="260" t="n"/>
      <c r="G44" s="260" t="n"/>
      <c r="H44" s="260" t="n"/>
      <c r="I44" s="260" t="n"/>
      <c r="J44" s="260" t="n"/>
      <c r="K44" s="260" t="n"/>
      <c r="L44" s="260" t="n"/>
      <c r="M44" s="260" t="n"/>
    </row>
    <row r="45" ht="20" customHeight="1" s="107">
      <c r="A45" s="159" t="inlineStr">
        <is>
          <t>D3</t>
        </is>
      </c>
      <c r="B45" s="160" t="inlineStr">
        <is>
          <t>09:00</t>
        </is>
      </c>
      <c r="C45" s="260" t="n"/>
      <c r="D45" s="260" t="n"/>
      <c r="E45" s="260" t="n"/>
      <c r="F45" s="260" t="n"/>
      <c r="G45" s="260" t="n"/>
      <c r="H45" s="260" t="n"/>
      <c r="I45" s="260" t="n"/>
      <c r="J45" s="260" t="n"/>
      <c r="K45" s="260" t="n"/>
      <c r="L45" s="260" t="n"/>
      <c r="M45" s="260" t="n"/>
    </row>
    <row r="46" ht="20" customHeight="1" s="107">
      <c r="A46" s="155" t="inlineStr">
        <is>
          <t>D3</t>
        </is>
      </c>
      <c r="B46" s="156" t="inlineStr">
        <is>
          <t>09:30</t>
        </is>
      </c>
      <c r="C46" s="260" t="n"/>
      <c r="D46" s="260" t="n"/>
      <c r="E46" s="260" t="n"/>
      <c r="F46" s="260" t="n"/>
      <c r="G46" s="260" t="n"/>
      <c r="H46" s="260" t="n"/>
      <c r="I46" s="260" t="n"/>
      <c r="J46" s="260" t="n"/>
      <c r="K46" s="260" t="n"/>
      <c r="L46" s="260" t="n"/>
      <c r="M46" s="260" t="n"/>
    </row>
    <row r="47" ht="20" customHeight="1" s="107">
      <c r="A47" s="159" t="inlineStr">
        <is>
          <t>D3</t>
        </is>
      </c>
      <c r="B47" s="160" t="inlineStr">
        <is>
          <t>10:00</t>
        </is>
      </c>
      <c r="C47" s="260" t="n"/>
      <c r="D47" s="260" t="n"/>
      <c r="E47" s="260" t="n"/>
      <c r="F47" s="260" t="n"/>
      <c r="G47" s="260" t="n"/>
      <c r="H47" s="260" t="n"/>
      <c r="I47" s="260" t="n"/>
      <c r="J47" s="260" t="n"/>
      <c r="K47" s="260" t="n"/>
      <c r="L47" s="260" t="n"/>
      <c r="M47" s="260" t="n"/>
    </row>
    <row r="48" ht="20" customHeight="1" s="107">
      <c r="A48" s="155" t="inlineStr">
        <is>
          <t>D3</t>
        </is>
      </c>
      <c r="B48" s="156" t="inlineStr">
        <is>
          <t>10:30</t>
        </is>
      </c>
      <c r="C48" s="260" t="n"/>
      <c r="D48" s="260" t="n"/>
      <c r="E48" s="260" t="n"/>
      <c r="F48" s="260" t="n"/>
      <c r="G48" s="260" t="n"/>
      <c r="H48" s="260" t="n"/>
      <c r="I48" s="260" t="n"/>
      <c r="J48" s="260" t="n"/>
      <c r="K48" s="260" t="n"/>
      <c r="L48" s="260" t="n"/>
      <c r="M48" s="260" t="n"/>
    </row>
    <row r="49" ht="20" customHeight="1" s="107">
      <c r="A49" s="159" t="inlineStr">
        <is>
          <t>D3</t>
        </is>
      </c>
      <c r="B49" s="160" t="inlineStr">
        <is>
          <t>11:00</t>
        </is>
      </c>
      <c r="C49" s="260" t="n"/>
      <c r="D49" s="260" t="n"/>
      <c r="E49" s="260" t="n"/>
      <c r="F49" s="260" t="n"/>
      <c r="G49" s="260" t="n"/>
      <c r="H49" s="260" t="n"/>
      <c r="I49" s="260" t="n"/>
      <c r="J49" s="260" t="n"/>
      <c r="K49" s="260" t="n"/>
      <c r="L49" s="260" t="n"/>
      <c r="M49" s="260" t="n"/>
    </row>
    <row r="50" ht="20" customHeight="1" s="107">
      <c r="A50" s="155" t="inlineStr">
        <is>
          <t>D3</t>
        </is>
      </c>
      <c r="B50" s="156" t="inlineStr">
        <is>
          <t>11:30</t>
        </is>
      </c>
      <c r="C50" s="260" t="n"/>
      <c r="D50" s="260" t="n"/>
      <c r="E50" s="260" t="n"/>
      <c r="F50" s="260" t="n"/>
      <c r="G50" s="260" t="n"/>
      <c r="H50" s="260" t="n"/>
      <c r="I50" s="260" t="n"/>
      <c r="J50" s="260" t="n"/>
      <c r="K50" s="260" t="n"/>
      <c r="L50" s="260" t="n"/>
      <c r="M50" s="260" t="n"/>
    </row>
    <row r="51" ht="20" customHeight="1" s="107">
      <c r="A51" s="159" t="inlineStr">
        <is>
          <t>D3</t>
        </is>
      </c>
      <c r="B51" s="160" t="inlineStr">
        <is>
          <t>12:00</t>
        </is>
      </c>
      <c r="C51" s="260" t="n"/>
      <c r="D51" s="260" t="n"/>
      <c r="E51" s="260" t="n"/>
      <c r="F51" s="260" t="n"/>
      <c r="G51" s="260" t="n"/>
      <c r="H51" s="260" t="n"/>
      <c r="I51" s="260" t="n"/>
      <c r="J51" s="260" t="n"/>
      <c r="K51" s="260" t="n"/>
      <c r="L51" s="260" t="n"/>
      <c r="M51" s="260" t="n"/>
    </row>
    <row r="52" ht="20" customHeight="1" s="107">
      <c r="A52" s="155" t="inlineStr">
        <is>
          <t>D3</t>
        </is>
      </c>
      <c r="B52" s="156" t="inlineStr">
        <is>
          <t>12:30</t>
        </is>
      </c>
      <c r="C52" s="260" t="n"/>
      <c r="D52" s="260" t="n"/>
      <c r="E52" s="260" t="n"/>
      <c r="F52" s="260" t="n"/>
      <c r="G52" s="260" t="n"/>
      <c r="H52" s="260" t="n"/>
      <c r="I52" s="260" t="n"/>
      <c r="J52" s="260" t="n"/>
      <c r="K52" s="260" t="n"/>
      <c r="L52" s="260" t="n"/>
      <c r="M52" s="260" t="n"/>
    </row>
    <row r="53" ht="20" customHeight="1" s="107">
      <c r="A53" s="159" t="inlineStr">
        <is>
          <t>D3</t>
        </is>
      </c>
      <c r="B53" s="160" t="inlineStr">
        <is>
          <t>13:00</t>
        </is>
      </c>
      <c r="C53" s="260" t="n"/>
      <c r="D53" s="260" t="n"/>
      <c r="E53" s="260" t="n"/>
      <c r="F53" s="260" t="n"/>
      <c r="G53" s="260" t="n"/>
      <c r="H53" s="260" t="n"/>
      <c r="I53" s="260" t="n"/>
      <c r="J53" s="260" t="n"/>
      <c r="K53" s="260" t="n"/>
      <c r="L53" s="260" t="n"/>
      <c r="M53" s="260" t="n"/>
    </row>
    <row r="54" ht="20" customHeight="1" s="107">
      <c r="A54" s="155" t="inlineStr">
        <is>
          <t>D3</t>
        </is>
      </c>
      <c r="B54" s="156" t="inlineStr">
        <is>
          <t>13:30</t>
        </is>
      </c>
      <c r="C54" s="260" t="n"/>
      <c r="D54" s="260" t="n"/>
      <c r="E54" s="260" t="n"/>
      <c r="F54" s="260" t="n"/>
      <c r="G54" s="260" t="n"/>
      <c r="H54" s="260" t="n"/>
      <c r="I54" s="260" t="n"/>
      <c r="J54" s="260" t="n"/>
      <c r="K54" s="260" t="n"/>
      <c r="L54" s="260" t="n"/>
      <c r="M54" s="260" t="n"/>
    </row>
    <row r="55" ht="20" customHeight="1" s="107">
      <c r="A55" s="159" t="inlineStr">
        <is>
          <t>D3</t>
        </is>
      </c>
      <c r="B55" s="160" t="inlineStr">
        <is>
          <t>14:00</t>
        </is>
      </c>
      <c r="C55" s="260" t="n"/>
      <c r="D55" s="260" t="n"/>
      <c r="E55" s="260" t="n"/>
      <c r="F55" s="260" t="n"/>
      <c r="G55" s="260" t="n"/>
      <c r="H55" s="260" t="n"/>
      <c r="I55" s="260" t="n"/>
      <c r="J55" s="260" t="n"/>
      <c r="K55" s="260" t="n"/>
      <c r="L55" s="260" t="n"/>
      <c r="M55" s="260" t="n"/>
    </row>
    <row r="56" ht="20" customHeight="1" s="107">
      <c r="A56" s="155" t="inlineStr">
        <is>
          <t>D3</t>
        </is>
      </c>
      <c r="B56" s="156" t="inlineStr">
        <is>
          <t>14:30</t>
        </is>
      </c>
      <c r="C56" s="260" t="n"/>
      <c r="D56" s="260" t="n"/>
      <c r="E56" s="260" t="n"/>
      <c r="F56" s="260" t="n"/>
      <c r="G56" s="260" t="n"/>
      <c r="H56" s="260" t="n"/>
      <c r="I56" s="260" t="n"/>
      <c r="J56" s="260" t="n"/>
      <c r="K56" s="260" t="n"/>
      <c r="L56" s="260" t="n"/>
      <c r="M56" s="260" t="n"/>
    </row>
    <row r="57" ht="20" customHeight="1" s="107">
      <c r="A57" s="159" t="inlineStr">
        <is>
          <t>D3</t>
        </is>
      </c>
      <c r="B57" s="160" t="inlineStr">
        <is>
          <t>15:00</t>
        </is>
      </c>
      <c r="C57" s="260" t="n"/>
      <c r="D57" s="260" t="n"/>
      <c r="E57" s="260" t="n"/>
      <c r="F57" s="260" t="n"/>
      <c r="G57" s="260" t="n"/>
      <c r="H57" s="260" t="n"/>
      <c r="I57" s="260" t="n"/>
      <c r="J57" s="260" t="n"/>
      <c r="K57" s="260" t="n"/>
      <c r="L57" s="260" t="n"/>
      <c r="M57" s="260" t="n"/>
    </row>
    <row r="58" ht="20" customHeight="1" s="107">
      <c r="A58" s="155" t="inlineStr">
        <is>
          <t>D3</t>
        </is>
      </c>
      <c r="B58" s="156" t="inlineStr">
        <is>
          <t>15:30</t>
        </is>
      </c>
      <c r="C58" s="260" t="n"/>
      <c r="D58" s="260" t="n"/>
      <c r="E58" s="260" t="n"/>
      <c r="F58" s="260" t="n"/>
      <c r="G58" s="260" t="n"/>
      <c r="H58" s="260" t="n"/>
      <c r="I58" s="260" t="n"/>
      <c r="J58" s="260" t="n"/>
      <c r="K58" s="260" t="n"/>
      <c r="L58" s="260" t="n"/>
      <c r="M58" s="260" t="n"/>
    </row>
    <row r="59" ht="20" customHeight="1" s="107">
      <c r="A59" s="159" t="inlineStr">
        <is>
          <t>D3</t>
        </is>
      </c>
      <c r="B59" s="160" t="inlineStr">
        <is>
          <t>16:00</t>
        </is>
      </c>
      <c r="C59" s="260" t="n"/>
      <c r="D59" s="260" t="n"/>
      <c r="E59" s="260" t="n"/>
      <c r="F59" s="260" t="n"/>
      <c r="G59" s="260" t="n"/>
      <c r="H59" s="260" t="n"/>
      <c r="I59" s="260" t="n"/>
      <c r="J59" s="260" t="n"/>
      <c r="K59" s="260" t="n"/>
      <c r="L59" s="260" t="n"/>
      <c r="M59" s="260" t="n"/>
    </row>
    <row r="60" ht="20" customHeight="1" s="107">
      <c r="A60" s="155" t="inlineStr">
        <is>
          <t>D3</t>
        </is>
      </c>
      <c r="B60" s="156" t="inlineStr">
        <is>
          <t>16:30</t>
        </is>
      </c>
      <c r="C60" s="260" t="n"/>
      <c r="D60" s="260" t="n"/>
      <c r="E60" s="260" t="n"/>
      <c r="F60" s="260" t="n"/>
      <c r="G60" s="260" t="n"/>
      <c r="H60" s="260" t="n"/>
      <c r="I60" s="260" t="n"/>
      <c r="J60" s="260" t="n"/>
      <c r="K60" s="260" t="n"/>
      <c r="L60" s="260" t="n"/>
      <c r="M60" s="260" t="n"/>
    </row>
    <row r="61" ht="20" customHeight="1" s="107">
      <c r="A61" s="159" t="inlineStr">
        <is>
          <t>D3</t>
        </is>
      </c>
      <c r="B61" s="160" t="inlineStr">
        <is>
          <t>17:00</t>
        </is>
      </c>
      <c r="C61" s="260" t="n"/>
      <c r="D61" s="260" t="n"/>
      <c r="E61" s="260" t="n"/>
      <c r="F61" s="260" t="n"/>
      <c r="G61" s="260" t="n"/>
      <c r="H61" s="260" t="n"/>
      <c r="I61" s="260" t="n"/>
      <c r="J61" s="260" t="n"/>
      <c r="K61" s="260" t="n"/>
      <c r="L61" s="260" t="n"/>
      <c r="M61" s="260" t="n"/>
    </row>
    <row r="62" ht="20" customHeight="1" s="107">
      <c r="A62" s="155" t="inlineStr">
        <is>
          <t>D3</t>
        </is>
      </c>
      <c r="B62" s="156" t="inlineStr">
        <is>
          <t>17:30</t>
        </is>
      </c>
      <c r="C62" s="260" t="n"/>
      <c r="D62" s="260" t="n"/>
      <c r="E62" s="260" t="n"/>
      <c r="F62" s="260" t="n"/>
      <c r="G62" s="260" t="n"/>
      <c r="H62" s="260" t="n"/>
      <c r="I62" s="260" t="n"/>
      <c r="J62" s="260" t="n"/>
      <c r="K62" s="260" t="n"/>
      <c r="L62" s="260" t="n"/>
      <c r="M62" s="260" t="n"/>
    </row>
    <row r="63" ht="20" customHeight="1" s="107">
      <c r="A63" s="151" t="inlineStr">
        <is>
          <t>D4</t>
        </is>
      </c>
      <c r="B63" s="152" t="inlineStr">
        <is>
          <t>08:00</t>
        </is>
      </c>
      <c r="C63" s="259" t="n"/>
      <c r="D63" s="259" t="n"/>
      <c r="E63" s="259" t="n"/>
      <c r="F63" s="259" t="n"/>
      <c r="G63" s="259" t="n"/>
      <c r="H63" s="259" t="n"/>
      <c r="I63" s="259" t="n"/>
      <c r="J63" s="259" t="n"/>
      <c r="K63" s="259" t="n"/>
      <c r="L63" s="259" t="n"/>
      <c r="M63" s="259" t="n"/>
    </row>
    <row r="64" ht="20" customHeight="1" s="107">
      <c r="A64" s="155" t="inlineStr">
        <is>
          <t>D4</t>
        </is>
      </c>
      <c r="B64" s="156" t="inlineStr">
        <is>
          <t>08:30</t>
        </is>
      </c>
      <c r="C64" s="260" t="n"/>
      <c r="D64" s="260" t="n"/>
      <c r="E64" s="260" t="n"/>
      <c r="F64" s="260" t="n"/>
      <c r="G64" s="260" t="n"/>
      <c r="H64" s="260" t="n"/>
      <c r="I64" s="260" t="n"/>
      <c r="J64" s="260" t="n"/>
      <c r="K64" s="260" t="n"/>
      <c r="L64" s="260" t="n"/>
      <c r="M64" s="260" t="n"/>
    </row>
    <row r="65" ht="20" customHeight="1" s="107">
      <c r="A65" s="159" t="inlineStr">
        <is>
          <t>D4</t>
        </is>
      </c>
      <c r="B65" s="160" t="inlineStr">
        <is>
          <t>09:00</t>
        </is>
      </c>
      <c r="C65" s="260" t="n"/>
      <c r="D65" s="260" t="n"/>
      <c r="E65" s="260" t="n"/>
      <c r="F65" s="260" t="n"/>
      <c r="G65" s="260" t="n"/>
      <c r="H65" s="260" t="n"/>
      <c r="I65" s="260" t="n"/>
      <c r="J65" s="260" t="n"/>
      <c r="K65" s="260" t="n"/>
      <c r="L65" s="260" t="n"/>
      <c r="M65" s="260" t="n"/>
    </row>
    <row r="66" ht="20" customHeight="1" s="107">
      <c r="A66" s="155" t="inlineStr">
        <is>
          <t>D4</t>
        </is>
      </c>
      <c r="B66" s="156" t="inlineStr">
        <is>
          <t>09:30</t>
        </is>
      </c>
      <c r="C66" s="260" t="n"/>
      <c r="D66" s="260" t="n"/>
      <c r="E66" s="260" t="n"/>
      <c r="F66" s="260" t="n"/>
      <c r="G66" s="260" t="n"/>
      <c r="H66" s="260" t="n"/>
      <c r="I66" s="260" t="n"/>
      <c r="J66" s="260" t="n"/>
      <c r="K66" s="260" t="n"/>
      <c r="L66" s="260" t="n"/>
      <c r="M66" s="260" t="n"/>
    </row>
    <row r="67" ht="20" customHeight="1" s="107">
      <c r="A67" s="159" t="inlineStr">
        <is>
          <t>D4</t>
        </is>
      </c>
      <c r="B67" s="160" t="inlineStr">
        <is>
          <t>10:00</t>
        </is>
      </c>
      <c r="C67" s="260" t="n"/>
      <c r="D67" s="260" t="n"/>
      <c r="E67" s="260" t="n"/>
      <c r="F67" s="260" t="n"/>
      <c r="G67" s="260" t="n"/>
      <c r="H67" s="260" t="n"/>
      <c r="I67" s="260" t="n"/>
      <c r="J67" s="260" t="n"/>
      <c r="K67" s="260" t="n"/>
      <c r="L67" s="260" t="n"/>
      <c r="M67" s="260" t="n"/>
    </row>
    <row r="68" ht="20" customHeight="1" s="107">
      <c r="A68" s="155" t="inlineStr">
        <is>
          <t>D4</t>
        </is>
      </c>
      <c r="B68" s="156" t="inlineStr">
        <is>
          <t>10:30</t>
        </is>
      </c>
      <c r="C68" s="260" t="n"/>
      <c r="D68" s="260" t="n"/>
      <c r="E68" s="260" t="n"/>
      <c r="F68" s="260" t="n"/>
      <c r="G68" s="260" t="n"/>
      <c r="H68" s="260" t="n"/>
      <c r="I68" s="260" t="n"/>
      <c r="J68" s="260" t="n"/>
      <c r="K68" s="260" t="n"/>
      <c r="L68" s="260" t="n"/>
      <c r="M68" s="260" t="n"/>
    </row>
    <row r="69" ht="20" customHeight="1" s="107">
      <c r="A69" s="159" t="inlineStr">
        <is>
          <t>D4</t>
        </is>
      </c>
      <c r="B69" s="160" t="inlineStr">
        <is>
          <t>11:00</t>
        </is>
      </c>
      <c r="C69" s="260" t="n"/>
      <c r="D69" s="260" t="n"/>
      <c r="E69" s="260" t="n"/>
      <c r="F69" s="260" t="n"/>
      <c r="G69" s="260" t="n"/>
      <c r="H69" s="260" t="n"/>
      <c r="I69" s="260" t="n"/>
      <c r="J69" s="260" t="n"/>
      <c r="K69" s="260" t="n"/>
      <c r="L69" s="260" t="n"/>
      <c r="M69" s="260" t="n"/>
    </row>
    <row r="70" ht="20" customHeight="1" s="107">
      <c r="A70" s="155" t="inlineStr">
        <is>
          <t>D4</t>
        </is>
      </c>
      <c r="B70" s="156" t="inlineStr">
        <is>
          <t>11:30</t>
        </is>
      </c>
      <c r="C70" s="260" t="n"/>
      <c r="D70" s="260" t="n"/>
      <c r="E70" s="260" t="n"/>
      <c r="F70" s="260" t="n"/>
      <c r="G70" s="260" t="n"/>
      <c r="H70" s="260" t="n"/>
      <c r="I70" s="260" t="n"/>
      <c r="J70" s="260" t="n"/>
      <c r="K70" s="260" t="n"/>
      <c r="L70" s="260" t="n"/>
      <c r="M70" s="260" t="n"/>
    </row>
    <row r="71" ht="20" customHeight="1" s="107">
      <c r="A71" s="159" t="inlineStr">
        <is>
          <t>D4</t>
        </is>
      </c>
      <c r="B71" s="160" t="inlineStr">
        <is>
          <t>12:00</t>
        </is>
      </c>
      <c r="C71" s="260" t="n"/>
      <c r="D71" s="260" t="n"/>
      <c r="E71" s="260" t="n"/>
      <c r="F71" s="260" t="n"/>
      <c r="G71" s="260" t="n"/>
      <c r="H71" s="260" t="n"/>
      <c r="I71" s="260" t="n"/>
      <c r="J71" s="260" t="n"/>
      <c r="K71" s="260" t="n"/>
      <c r="L71" s="260" t="n"/>
      <c r="M71" s="260" t="n"/>
    </row>
    <row r="72" ht="20" customHeight="1" s="107">
      <c r="A72" s="155" t="inlineStr">
        <is>
          <t>D4</t>
        </is>
      </c>
      <c r="B72" s="156" t="inlineStr">
        <is>
          <t>12:30</t>
        </is>
      </c>
      <c r="C72" s="260" t="n"/>
      <c r="D72" s="260" t="n"/>
      <c r="E72" s="260" t="n"/>
      <c r="F72" s="260" t="n"/>
      <c r="G72" s="260" t="n"/>
      <c r="H72" s="260" t="n"/>
      <c r="I72" s="260" t="n"/>
      <c r="J72" s="260" t="n"/>
      <c r="K72" s="260" t="n"/>
      <c r="L72" s="260" t="n"/>
      <c r="M72" s="260" t="n"/>
    </row>
    <row r="73" ht="20" customHeight="1" s="107">
      <c r="A73" s="159" t="inlineStr">
        <is>
          <t>D4</t>
        </is>
      </c>
      <c r="B73" s="160" t="inlineStr">
        <is>
          <t>13:00</t>
        </is>
      </c>
      <c r="C73" s="260" t="n"/>
      <c r="D73" s="260" t="n"/>
      <c r="E73" s="260" t="n"/>
      <c r="F73" s="260" t="n"/>
      <c r="G73" s="260" t="n"/>
      <c r="H73" s="260" t="n"/>
      <c r="I73" s="260" t="n"/>
      <c r="J73" s="260" t="n"/>
      <c r="K73" s="260" t="n"/>
      <c r="L73" s="260" t="n"/>
      <c r="M73" s="260" t="n"/>
    </row>
    <row r="74" ht="20" customHeight="1" s="107">
      <c r="A74" s="155" t="inlineStr">
        <is>
          <t>D4</t>
        </is>
      </c>
      <c r="B74" s="156" t="inlineStr">
        <is>
          <t>13:30</t>
        </is>
      </c>
      <c r="C74" s="260" t="n"/>
      <c r="D74" s="260" t="n"/>
      <c r="E74" s="260" t="n"/>
      <c r="F74" s="260" t="n"/>
      <c r="G74" s="260" t="n"/>
      <c r="H74" s="260" t="n"/>
      <c r="I74" s="260" t="n"/>
      <c r="J74" s="260" t="n"/>
      <c r="K74" s="260" t="n"/>
      <c r="L74" s="260" t="n"/>
      <c r="M74" s="260" t="n"/>
    </row>
    <row r="75" ht="20" customHeight="1" s="107">
      <c r="A75" s="159" t="inlineStr">
        <is>
          <t>D4</t>
        </is>
      </c>
      <c r="B75" s="160" t="inlineStr">
        <is>
          <t>14:00</t>
        </is>
      </c>
      <c r="C75" s="260" t="n"/>
      <c r="D75" s="260" t="n"/>
      <c r="E75" s="260" t="n"/>
      <c r="F75" s="260" t="n"/>
      <c r="G75" s="260" t="n"/>
      <c r="H75" s="260" t="n"/>
      <c r="I75" s="260" t="n"/>
      <c r="J75" s="260" t="n"/>
      <c r="K75" s="260" t="n"/>
      <c r="L75" s="260" t="n"/>
      <c r="M75" s="260" t="n"/>
    </row>
    <row r="76" ht="20" customHeight="1" s="107">
      <c r="A76" s="155" t="inlineStr">
        <is>
          <t>D4</t>
        </is>
      </c>
      <c r="B76" s="156" t="inlineStr">
        <is>
          <t>14:30</t>
        </is>
      </c>
      <c r="C76" s="260" t="n"/>
      <c r="D76" s="260" t="n"/>
      <c r="E76" s="260" t="n"/>
      <c r="F76" s="260" t="n"/>
      <c r="G76" s="260" t="n"/>
      <c r="H76" s="260" t="n"/>
      <c r="I76" s="260" t="n"/>
      <c r="J76" s="260" t="n"/>
      <c r="K76" s="260" t="n"/>
      <c r="L76" s="260" t="n"/>
      <c r="M76" s="260" t="n"/>
    </row>
    <row r="77" ht="20" customHeight="1" s="107">
      <c r="A77" s="159" t="inlineStr">
        <is>
          <t>D4</t>
        </is>
      </c>
      <c r="B77" s="160" t="inlineStr">
        <is>
          <t>15:00</t>
        </is>
      </c>
      <c r="C77" s="260" t="n"/>
      <c r="D77" s="260" t="n"/>
      <c r="E77" s="260" t="n"/>
      <c r="F77" s="260" t="n"/>
      <c r="G77" s="260" t="n"/>
      <c r="H77" s="260" t="n"/>
      <c r="I77" s="260" t="n"/>
      <c r="J77" s="260" t="n"/>
      <c r="K77" s="260" t="n"/>
      <c r="L77" s="260" t="n"/>
      <c r="M77" s="260" t="n"/>
    </row>
    <row r="78" ht="20" customHeight="1" s="107">
      <c r="A78" s="155" t="inlineStr">
        <is>
          <t>D4</t>
        </is>
      </c>
      <c r="B78" s="156" t="inlineStr">
        <is>
          <t>15:30</t>
        </is>
      </c>
      <c r="C78" s="260" t="n"/>
      <c r="D78" s="260" t="n"/>
      <c r="E78" s="260" t="n"/>
      <c r="F78" s="260" t="n"/>
      <c r="G78" s="260" t="n"/>
      <c r="H78" s="260" t="n"/>
      <c r="I78" s="260" t="n"/>
      <c r="J78" s="260" t="n"/>
      <c r="K78" s="260" t="n"/>
      <c r="L78" s="260" t="n"/>
      <c r="M78" s="260" t="n"/>
    </row>
    <row r="79" ht="20" customHeight="1" s="107">
      <c r="A79" s="159" t="inlineStr">
        <is>
          <t>D4</t>
        </is>
      </c>
      <c r="B79" s="160" t="inlineStr">
        <is>
          <t>16:00</t>
        </is>
      </c>
      <c r="C79" s="260" t="n"/>
      <c r="D79" s="260" t="n"/>
      <c r="E79" s="260" t="n"/>
      <c r="F79" s="260" t="n"/>
      <c r="G79" s="260" t="n"/>
      <c r="H79" s="260" t="n"/>
      <c r="I79" s="260" t="n"/>
      <c r="J79" s="260" t="n"/>
      <c r="K79" s="260" t="n"/>
      <c r="L79" s="260" t="n"/>
      <c r="M79" s="260" t="n"/>
    </row>
    <row r="80" ht="20" customHeight="1" s="107">
      <c r="A80" s="155" t="inlineStr">
        <is>
          <t>D4</t>
        </is>
      </c>
      <c r="B80" s="156" t="inlineStr">
        <is>
          <t>16:30</t>
        </is>
      </c>
      <c r="C80" s="260" t="n"/>
      <c r="D80" s="260" t="n"/>
      <c r="E80" s="260" t="n"/>
      <c r="F80" s="260" t="n"/>
      <c r="G80" s="260" t="n"/>
      <c r="H80" s="260" t="n"/>
      <c r="I80" s="260" t="n"/>
      <c r="J80" s="260" t="n"/>
      <c r="K80" s="260" t="n"/>
      <c r="L80" s="260" t="n"/>
      <c r="M80" s="260" t="n"/>
    </row>
    <row r="81" ht="20" customHeight="1" s="107">
      <c r="A81" s="159" t="inlineStr">
        <is>
          <t>D4</t>
        </is>
      </c>
      <c r="B81" s="160" t="inlineStr">
        <is>
          <t>17:00</t>
        </is>
      </c>
      <c r="C81" s="260" t="n"/>
      <c r="D81" s="260" t="n"/>
      <c r="E81" s="260" t="n"/>
      <c r="F81" s="260" t="n"/>
      <c r="G81" s="260" t="n"/>
      <c r="H81" s="260" t="n"/>
      <c r="I81" s="260" t="n"/>
      <c r="J81" s="260" t="n"/>
      <c r="K81" s="260" t="n"/>
      <c r="L81" s="260" t="n"/>
      <c r="M81" s="260" t="n"/>
    </row>
    <row r="82" ht="20" customHeight="1" s="107">
      <c r="A82" s="155" t="inlineStr">
        <is>
          <t>D4</t>
        </is>
      </c>
      <c r="B82" s="156" t="inlineStr">
        <is>
          <t>17:30</t>
        </is>
      </c>
      <c r="C82" s="260" t="n"/>
      <c r="D82" s="260" t="n"/>
      <c r="E82" s="260" t="n"/>
      <c r="F82" s="260" t="n"/>
      <c r="G82" s="260" t="n"/>
      <c r="H82" s="260" t="n"/>
      <c r="I82" s="260" t="n"/>
      <c r="J82" s="260" t="n"/>
      <c r="K82" s="260" t="n"/>
      <c r="L82" s="260" t="n"/>
      <c r="M82" s="260" t="n"/>
    </row>
    <row r="83" ht="20" customHeight="1" s="107">
      <c r="A83" s="151" t="inlineStr">
        <is>
          <t>D5</t>
        </is>
      </c>
      <c r="B83" s="152" t="inlineStr">
        <is>
          <t>08:00</t>
        </is>
      </c>
      <c r="C83" s="259" t="n"/>
      <c r="D83" s="259" t="n"/>
      <c r="E83" s="259" t="n"/>
      <c r="F83" s="259" t="n"/>
      <c r="G83" s="259" t="n"/>
      <c r="H83" s="259" t="n"/>
      <c r="I83" s="259" t="n"/>
      <c r="J83" s="259" t="n"/>
      <c r="K83" s="259" t="n"/>
      <c r="L83" s="259" t="n"/>
      <c r="M83" s="259" t="n"/>
    </row>
    <row r="84" ht="20" customHeight="1" s="107">
      <c r="A84" s="155" t="inlineStr">
        <is>
          <t>D5</t>
        </is>
      </c>
      <c r="B84" s="156" t="inlineStr">
        <is>
          <t>08:30</t>
        </is>
      </c>
      <c r="C84" s="260" t="n"/>
      <c r="D84" s="260" t="n"/>
      <c r="E84" s="260" t="n"/>
      <c r="F84" s="260" t="n"/>
      <c r="G84" s="260" t="n"/>
      <c r="H84" s="260" t="n"/>
      <c r="I84" s="260" t="n"/>
      <c r="J84" s="260" t="n"/>
      <c r="K84" s="260" t="n"/>
      <c r="L84" s="260" t="n"/>
      <c r="M84" s="260" t="n"/>
    </row>
    <row r="85" ht="20" customHeight="1" s="107">
      <c r="A85" s="159" t="inlineStr">
        <is>
          <t>D5</t>
        </is>
      </c>
      <c r="B85" s="160" t="inlineStr">
        <is>
          <t>09:00</t>
        </is>
      </c>
      <c r="C85" s="260" t="n"/>
      <c r="D85" s="260" t="n"/>
      <c r="E85" s="260" t="n"/>
      <c r="F85" s="260" t="n"/>
      <c r="G85" s="260" t="n"/>
      <c r="H85" s="260" t="n"/>
      <c r="I85" s="260" t="n"/>
      <c r="J85" s="260" t="n"/>
      <c r="K85" s="260" t="n"/>
      <c r="L85" s="260" t="n"/>
      <c r="M85" s="260" t="n"/>
    </row>
    <row r="86" ht="20" customHeight="1" s="107">
      <c r="A86" s="155" t="inlineStr">
        <is>
          <t>D5</t>
        </is>
      </c>
      <c r="B86" s="156" t="inlineStr">
        <is>
          <t>09:30</t>
        </is>
      </c>
      <c r="C86" s="260" t="n"/>
      <c r="D86" s="260" t="n"/>
      <c r="E86" s="260" t="n"/>
      <c r="F86" s="260" t="n"/>
      <c r="G86" s="260" t="n"/>
      <c r="H86" s="260" t="n"/>
      <c r="I86" s="260" t="n"/>
      <c r="J86" s="260" t="n"/>
      <c r="K86" s="260" t="n"/>
      <c r="L86" s="260" t="n"/>
      <c r="M86" s="260" t="n"/>
    </row>
    <row r="87" ht="20" customHeight="1" s="107">
      <c r="A87" s="159" t="inlineStr">
        <is>
          <t>D5</t>
        </is>
      </c>
      <c r="B87" s="160" t="inlineStr">
        <is>
          <t>10:00</t>
        </is>
      </c>
      <c r="C87" s="260" t="n"/>
      <c r="D87" s="260" t="n"/>
      <c r="E87" s="260" t="n"/>
      <c r="F87" s="260" t="n"/>
      <c r="G87" s="260" t="n"/>
      <c r="H87" s="260" t="n"/>
      <c r="I87" s="260" t="n"/>
      <c r="J87" s="260" t="n"/>
      <c r="K87" s="260" t="n"/>
      <c r="L87" s="260" t="n"/>
      <c r="M87" s="260" t="n"/>
    </row>
    <row r="88" ht="20" customHeight="1" s="107">
      <c r="A88" s="155" t="inlineStr">
        <is>
          <t>D5</t>
        </is>
      </c>
      <c r="B88" s="156" t="inlineStr">
        <is>
          <t>10:30</t>
        </is>
      </c>
      <c r="C88" s="260" t="n"/>
      <c r="D88" s="260" t="n"/>
      <c r="E88" s="260" t="n"/>
      <c r="F88" s="260" t="n"/>
      <c r="G88" s="260" t="n"/>
      <c r="H88" s="260" t="n"/>
      <c r="I88" s="260" t="n"/>
      <c r="J88" s="260" t="n"/>
      <c r="K88" s="260" t="n"/>
      <c r="L88" s="260" t="n"/>
      <c r="M88" s="260" t="n"/>
    </row>
    <row r="89" ht="20" customHeight="1" s="107">
      <c r="A89" s="159" t="inlineStr">
        <is>
          <t>D5</t>
        </is>
      </c>
      <c r="B89" s="160" t="inlineStr">
        <is>
          <t>11:00</t>
        </is>
      </c>
      <c r="C89" s="260" t="n"/>
      <c r="D89" s="260" t="n"/>
      <c r="E89" s="260" t="n"/>
      <c r="F89" s="260" t="n"/>
      <c r="G89" s="260" t="n"/>
      <c r="H89" s="260" t="n"/>
      <c r="I89" s="260" t="n"/>
      <c r="J89" s="260" t="n"/>
      <c r="K89" s="260" t="n"/>
      <c r="L89" s="260" t="n"/>
      <c r="M89" s="260" t="n"/>
    </row>
    <row r="90" ht="20" customHeight="1" s="107">
      <c r="A90" s="155" t="inlineStr">
        <is>
          <t>D5</t>
        </is>
      </c>
      <c r="B90" s="156" t="inlineStr">
        <is>
          <t>11:30</t>
        </is>
      </c>
      <c r="C90" s="260" t="n"/>
      <c r="D90" s="260" t="n"/>
      <c r="E90" s="260" t="n"/>
      <c r="F90" s="260" t="n"/>
      <c r="G90" s="260" t="n"/>
      <c r="H90" s="260" t="n"/>
      <c r="I90" s="260" t="n"/>
      <c r="J90" s="260" t="n"/>
      <c r="K90" s="260" t="n"/>
      <c r="L90" s="260" t="n"/>
      <c r="M90" s="260" t="n"/>
    </row>
    <row r="91" ht="20" customHeight="1" s="107">
      <c r="A91" s="159" t="inlineStr">
        <is>
          <t>D5</t>
        </is>
      </c>
      <c r="B91" s="160" t="inlineStr">
        <is>
          <t>12:00</t>
        </is>
      </c>
      <c r="C91" s="260" t="n"/>
      <c r="D91" s="260" t="n"/>
      <c r="E91" s="260" t="n"/>
      <c r="F91" s="260" t="n"/>
      <c r="G91" s="260" t="n"/>
      <c r="H91" s="260" t="n"/>
      <c r="I91" s="260" t="n"/>
      <c r="J91" s="260" t="n"/>
      <c r="K91" s="260" t="n"/>
      <c r="L91" s="260" t="n"/>
      <c r="M91" s="260" t="n"/>
    </row>
    <row r="92" ht="20" customHeight="1" s="107">
      <c r="A92" s="155" t="inlineStr">
        <is>
          <t>D5</t>
        </is>
      </c>
      <c r="B92" s="156" t="inlineStr">
        <is>
          <t>12:30</t>
        </is>
      </c>
      <c r="C92" s="260" t="n"/>
      <c r="D92" s="260" t="n"/>
      <c r="E92" s="260" t="n"/>
      <c r="F92" s="260" t="n"/>
      <c r="G92" s="260" t="n"/>
      <c r="H92" s="260" t="n"/>
      <c r="I92" s="260" t="n"/>
      <c r="J92" s="260" t="n"/>
      <c r="K92" s="260" t="n"/>
      <c r="L92" s="260" t="n"/>
      <c r="M92" s="260" t="n"/>
    </row>
    <row r="93" ht="20" customHeight="1" s="107">
      <c r="A93" s="159" t="inlineStr">
        <is>
          <t>D5</t>
        </is>
      </c>
      <c r="B93" s="160" t="inlineStr">
        <is>
          <t>13:00</t>
        </is>
      </c>
      <c r="C93" s="260" t="n"/>
      <c r="D93" s="260" t="n"/>
      <c r="E93" s="260" t="n"/>
      <c r="F93" s="260" t="n"/>
      <c r="G93" s="260" t="n"/>
      <c r="H93" s="260" t="n"/>
      <c r="I93" s="260" t="n"/>
      <c r="J93" s="260" t="n"/>
      <c r="K93" s="260" t="n"/>
      <c r="L93" s="260" t="n"/>
      <c r="M93" s="260" t="n"/>
    </row>
    <row r="94" ht="20" customHeight="1" s="107">
      <c r="A94" s="155" t="inlineStr">
        <is>
          <t>D5</t>
        </is>
      </c>
      <c r="B94" s="156" t="inlineStr">
        <is>
          <t>13:30</t>
        </is>
      </c>
      <c r="C94" s="260" t="n"/>
      <c r="D94" s="260" t="n"/>
      <c r="E94" s="260" t="n"/>
      <c r="F94" s="260" t="n"/>
      <c r="G94" s="260" t="n"/>
      <c r="H94" s="260" t="n"/>
      <c r="I94" s="260" t="n"/>
      <c r="J94" s="260" t="n"/>
      <c r="K94" s="260" t="n"/>
      <c r="L94" s="260" t="n"/>
      <c r="M94" s="260" t="n"/>
    </row>
    <row r="95" ht="20" customHeight="1" s="107">
      <c r="A95" s="159" t="inlineStr">
        <is>
          <t>D5</t>
        </is>
      </c>
      <c r="B95" s="160" t="inlineStr">
        <is>
          <t>14:00</t>
        </is>
      </c>
      <c r="C95" s="260" t="n"/>
      <c r="D95" s="260" t="n"/>
      <c r="E95" s="260" t="n"/>
      <c r="F95" s="260" t="n"/>
      <c r="G95" s="260" t="n"/>
      <c r="H95" s="260" t="n"/>
      <c r="I95" s="260" t="n"/>
      <c r="J95" s="260" t="n"/>
      <c r="K95" s="260" t="n"/>
      <c r="L95" s="260" t="n"/>
      <c r="M95" s="260" t="n"/>
    </row>
    <row r="96" ht="20" customHeight="1" s="107">
      <c r="A96" s="155" t="inlineStr">
        <is>
          <t>D5</t>
        </is>
      </c>
      <c r="B96" s="156" t="inlineStr">
        <is>
          <t>14:30</t>
        </is>
      </c>
      <c r="C96" s="260" t="n"/>
      <c r="D96" s="260" t="n"/>
      <c r="E96" s="260" t="n"/>
      <c r="F96" s="260" t="n"/>
      <c r="G96" s="260" t="n"/>
      <c r="H96" s="260" t="n"/>
      <c r="I96" s="260" t="n"/>
      <c r="J96" s="260" t="n"/>
      <c r="K96" s="260" t="n"/>
      <c r="L96" s="260" t="n"/>
      <c r="M96" s="260" t="n"/>
    </row>
    <row r="97" ht="20" customHeight="1" s="107">
      <c r="A97" s="159" t="inlineStr">
        <is>
          <t>D5</t>
        </is>
      </c>
      <c r="B97" s="160" t="inlineStr">
        <is>
          <t>15:00</t>
        </is>
      </c>
      <c r="C97" s="260" t="n"/>
      <c r="D97" s="260" t="n"/>
      <c r="E97" s="260" t="n"/>
      <c r="F97" s="260" t="n"/>
      <c r="G97" s="260" t="n"/>
      <c r="H97" s="260" t="n"/>
      <c r="I97" s="260" t="n"/>
      <c r="J97" s="260" t="n"/>
      <c r="K97" s="260" t="n"/>
      <c r="L97" s="260" t="n"/>
      <c r="M97" s="260" t="n"/>
    </row>
    <row r="98" ht="20" customHeight="1" s="107">
      <c r="A98" s="155" t="inlineStr">
        <is>
          <t>D5</t>
        </is>
      </c>
      <c r="B98" s="156" t="inlineStr">
        <is>
          <t>15:30</t>
        </is>
      </c>
      <c r="C98" s="260" t="n"/>
      <c r="D98" s="260" t="n"/>
      <c r="E98" s="260" t="n"/>
      <c r="F98" s="260" t="n"/>
      <c r="G98" s="260" t="n"/>
      <c r="H98" s="260" t="n"/>
      <c r="I98" s="260" t="n"/>
      <c r="J98" s="260" t="n"/>
      <c r="K98" s="260" t="n"/>
      <c r="L98" s="260" t="n"/>
      <c r="M98" s="260" t="n"/>
    </row>
    <row r="99" ht="20" customHeight="1" s="107">
      <c r="A99" s="159" t="inlineStr">
        <is>
          <t>D5</t>
        </is>
      </c>
      <c r="B99" s="160" t="inlineStr">
        <is>
          <t>16:00</t>
        </is>
      </c>
      <c r="C99" s="260" t="n"/>
      <c r="D99" s="260" t="n"/>
      <c r="E99" s="260" t="n"/>
      <c r="F99" s="260" t="n"/>
      <c r="G99" s="260" t="n"/>
      <c r="H99" s="260" t="n"/>
      <c r="I99" s="260" t="n"/>
      <c r="J99" s="260" t="n"/>
      <c r="K99" s="260" t="n"/>
      <c r="L99" s="260" t="n"/>
      <c r="M99" s="260" t="n"/>
    </row>
    <row r="100" ht="20" customHeight="1" s="107">
      <c r="A100" s="155" t="inlineStr">
        <is>
          <t>D5</t>
        </is>
      </c>
      <c r="B100" s="156" t="inlineStr">
        <is>
          <t>16:30</t>
        </is>
      </c>
      <c r="C100" s="260" t="n"/>
      <c r="D100" s="260" t="n"/>
      <c r="E100" s="260" t="n"/>
      <c r="F100" s="260" t="n"/>
      <c r="G100" s="260" t="n"/>
      <c r="H100" s="260" t="n"/>
      <c r="I100" s="260" t="n"/>
      <c r="J100" s="260" t="n"/>
      <c r="K100" s="260" t="n"/>
      <c r="L100" s="260" t="n"/>
      <c r="M100" s="260" t="n"/>
    </row>
    <row r="101" ht="20" customHeight="1" s="107">
      <c r="A101" s="159" t="inlineStr">
        <is>
          <t>D5</t>
        </is>
      </c>
      <c r="B101" s="160" t="inlineStr">
        <is>
          <t>17:00</t>
        </is>
      </c>
      <c r="C101" s="260" t="n"/>
      <c r="D101" s="260" t="n"/>
      <c r="E101" s="260" t="n"/>
      <c r="F101" s="260" t="n"/>
      <c r="G101" s="260" t="n"/>
      <c r="H101" s="260" t="n"/>
      <c r="I101" s="260" t="n"/>
      <c r="J101" s="260" t="n"/>
      <c r="K101" s="260" t="n"/>
      <c r="L101" s="260" t="n"/>
      <c r="M101" s="260" t="n"/>
    </row>
    <row r="102" ht="20" customHeight="1" s="107">
      <c r="A102" s="155" t="inlineStr">
        <is>
          <t>D5</t>
        </is>
      </c>
      <c r="B102" s="156" t="inlineStr">
        <is>
          <t>17:30</t>
        </is>
      </c>
      <c r="C102" s="260" t="n"/>
      <c r="D102" s="260" t="n"/>
      <c r="E102" s="260" t="n"/>
      <c r="F102" s="260" t="n"/>
      <c r="G102" s="260" t="n"/>
      <c r="H102" s="260" t="n"/>
      <c r="I102" s="260" t="n"/>
      <c r="J102" s="260" t="n"/>
      <c r="K102" s="260" t="n"/>
      <c r="L102" s="260" t="n"/>
      <c r="M102" s="260" t="n"/>
    </row>
    <row r="104">
      <c r="A104" s="174" t="inlineStr">
        <is>
          <t>LEGEND:  ■ Green/R = Reserved (available)  |  ■ Blue = Booked  |  ■ Gray = Not reserved  |  ■ Red = CONFLICT or OVERLAP</t>
        </is>
      </c>
    </row>
    <row r="105">
      <c r="A105" s="174" t="inlineStr">
        <is>
          <t>This sheet is auto-generated. Edit RoomDB to change reservations, edit SessionDB to change bookings, then run RefreshRoomManagement macro.</t>
        </is>
      </c>
    </row>
  </sheetData>
  <mergeCells count="3">
    <mergeCell ref="A104:M104"/>
    <mergeCell ref="A105:M105"/>
    <mergeCell ref="A1:M1"/>
  </mergeCells>
  <pageMargins left="0.75" right="0.75" top="1" bottom="1" header="0.5" footer="0.5"/>
</worksheet>
</file>

<file path=xl/worksheets/sheet6.xml><?xml version="1.0" encoding="utf-8"?>
<worksheet xmlns="http://schemas.openxmlformats.org/spreadsheetml/2006/main">
  <sheetPr filterMode="0">
    <tabColor rgb="FF1B3A5F"/>
    <outlinePr summaryBelow="1" summaryRight="1"/>
    <pageSetUpPr fitToPage="1"/>
  </sheetPr>
  <dimension ref="A1:AW23"/>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6" customWidth="1" style="106" min="1" max="1"/>
    <col width="16" customWidth="1" style="106" min="2" max="2"/>
    <col width="12" customWidth="1" style="106" min="3" max="3"/>
    <col width="16" customWidth="1" style="106" min="4" max="4"/>
    <col width="12" customWidth="1" style="106" min="5" max="5"/>
    <col width="16" customWidth="1" style="106" min="6" max="6"/>
    <col width="12" customWidth="1" style="106" min="7" max="7"/>
    <col width="16" customWidth="1" style="106" min="8" max="8"/>
    <col width="12" customWidth="1" style="106" min="9" max="9"/>
    <col width="1.51" customWidth="1" style="106" min="10" max="10"/>
    <col width="6" customWidth="1" style="106" min="11" max="11"/>
    <col width="16" customWidth="1" style="106" min="12" max="12"/>
    <col width="12" customWidth="1" style="106" min="13" max="13"/>
    <col width="16" customWidth="1" style="106" min="14" max="14"/>
    <col width="12" customWidth="1" style="106" min="15" max="15"/>
    <col width="16" customWidth="1" style="106" min="16" max="16"/>
    <col width="12" customWidth="1" style="106" min="17" max="17"/>
    <col width="16" customWidth="1" style="106" min="18" max="18"/>
    <col width="12" customWidth="1" style="106" min="19" max="19"/>
    <col width="1.51" customWidth="1" style="106" min="20" max="20"/>
    <col width="6" customWidth="1" style="106" min="21" max="21"/>
    <col width="16" customWidth="1" style="106" min="22" max="22"/>
    <col width="12" customWidth="1" style="106" min="23" max="23"/>
    <col width="16" customWidth="1" style="106" min="24" max="24"/>
    <col width="12" customWidth="1" style="106" min="25" max="25"/>
    <col width="16" customWidth="1" style="106" min="26" max="26"/>
    <col width="12" customWidth="1" style="106" min="27" max="27"/>
    <col width="16" customWidth="1" style="106" min="28" max="28"/>
    <col width="12" customWidth="1" style="106" min="29" max="29"/>
    <col width="1.51" customWidth="1" style="106" min="30" max="30"/>
    <col width="6" customWidth="1" style="106" min="31" max="31"/>
    <col width="16" customWidth="1" style="106" min="32" max="32"/>
    <col width="12" customWidth="1" style="106" min="33" max="33"/>
    <col width="16" customWidth="1" style="106" min="34" max="34"/>
    <col width="12" customWidth="1" style="106" min="35" max="35"/>
    <col width="16" customWidth="1" style="106" min="36" max="36"/>
    <col width="12" customWidth="1" style="106" min="37" max="37"/>
    <col width="16" customWidth="1" style="106" min="38" max="38"/>
    <col width="12" customWidth="1" style="106" min="39" max="39"/>
    <col width="1.51" customWidth="1" style="106" min="40" max="40"/>
    <col width="6" customWidth="1" style="106" min="41" max="41"/>
    <col width="16" customWidth="1" style="106" min="42" max="42"/>
    <col width="12" customWidth="1" style="106" min="43" max="43"/>
    <col width="16" customWidth="1" style="106" min="44" max="44"/>
    <col width="12" customWidth="1" style="106" min="45" max="45"/>
    <col width="16" customWidth="1" style="106" min="46" max="46"/>
    <col width="12" customWidth="1" style="106" min="47" max="47"/>
    <col width="16" customWidth="1" style="106" min="48" max="48"/>
    <col width="12" customWidth="1" style="106" min="49" max="49"/>
  </cols>
  <sheetData>
    <row r="1" ht="36" customHeight="1" s="107">
      <c r="A1" s="175" t="inlineStr">
        <is>
          <t>WORKSHOP PROGRAM 2026 (AGENDA | TIMETABLE)</t>
        </is>
      </c>
    </row>
    <row r="2" ht="27.75" customHeight="1" s="107">
      <c r="A2" s="176" t="inlineStr">
        <is>
          <t>23 Mar (Mon)</t>
        </is>
      </c>
      <c r="B2" s="177" t="n"/>
      <c r="C2" s="177" t="n"/>
      <c r="D2" s="177" t="n"/>
      <c r="E2" s="177" t="n"/>
      <c r="F2" s="177" t="n"/>
      <c r="G2" s="177" t="n"/>
      <c r="H2" s="177" t="n"/>
      <c r="I2" s="178" t="n"/>
      <c r="J2" s="179" t="n"/>
      <c r="K2" s="180" t="inlineStr">
        <is>
          <t>24 Mar (Tue)</t>
        </is>
      </c>
      <c r="L2" s="177" t="n"/>
      <c r="M2" s="177" t="n"/>
      <c r="N2" s="177" t="n"/>
      <c r="O2" s="177" t="n"/>
      <c r="P2" s="177" t="n"/>
      <c r="Q2" s="177" t="n"/>
      <c r="R2" s="177" t="n"/>
      <c r="S2" s="178" t="n"/>
      <c r="T2" s="179" t="n"/>
      <c r="U2" s="176" t="inlineStr">
        <is>
          <t>25 Mar (Wed)</t>
        </is>
      </c>
      <c r="V2" s="177" t="n"/>
      <c r="W2" s="177" t="n"/>
      <c r="X2" s="177" t="n"/>
      <c r="Y2" s="177" t="n"/>
      <c r="Z2" s="177" t="n"/>
      <c r="AA2" s="177" t="n"/>
      <c r="AB2" s="177" t="n"/>
      <c r="AC2" s="178" t="n"/>
      <c r="AD2" s="179" t="n"/>
      <c r="AE2" s="180" t="inlineStr">
        <is>
          <t>26 Mar (Thu)</t>
        </is>
      </c>
      <c r="AF2" s="177" t="n"/>
      <c r="AG2" s="177" t="n"/>
      <c r="AH2" s="177" t="n"/>
      <c r="AI2" s="177" t="n"/>
      <c r="AJ2" s="177" t="n"/>
      <c r="AK2" s="177" t="n"/>
      <c r="AL2" s="177" t="n"/>
      <c r="AM2" s="178" t="n"/>
      <c r="AN2" s="179" t="n"/>
      <c r="AO2" s="176" t="inlineStr">
        <is>
          <t>27 Mar (Fri)</t>
        </is>
      </c>
      <c r="AP2" s="177" t="n"/>
      <c r="AQ2" s="177" t="n"/>
      <c r="AR2" s="177" t="n"/>
      <c r="AS2" s="177" t="n"/>
      <c r="AT2" s="177" t="n"/>
      <c r="AU2" s="177" t="n"/>
      <c r="AV2" s="177" t="n"/>
      <c r="AW2" s="178" t="n"/>
    </row>
    <row r="3" ht="19.5" customHeight="1" s="107">
      <c r="A3" s="181" t="inlineStr">
        <is>
          <t>Time</t>
        </is>
      </c>
      <c r="B3" s="182" t="inlineStr">
        <is>
          <t>Agenda</t>
        </is>
      </c>
      <c r="C3" s="182" t="inlineStr">
        <is>
          <t>Lead</t>
        </is>
      </c>
      <c r="D3" s="183" t="inlineStr">
        <is>
          <t>Agenda</t>
        </is>
      </c>
      <c r="E3" s="183" t="inlineStr">
        <is>
          <t>Lead</t>
        </is>
      </c>
      <c r="F3" s="184" t="inlineStr">
        <is>
          <t>Agenda</t>
        </is>
      </c>
      <c r="G3" s="184" t="inlineStr">
        <is>
          <t>Lead</t>
        </is>
      </c>
      <c r="H3" s="185" t="inlineStr">
        <is>
          <t>Agenda</t>
        </is>
      </c>
      <c r="I3" s="185" t="inlineStr">
        <is>
          <t>Lead</t>
        </is>
      </c>
      <c r="J3" s="179" t="n"/>
      <c r="K3" s="181" t="inlineStr">
        <is>
          <t>Time</t>
        </is>
      </c>
      <c r="L3" s="182" t="inlineStr">
        <is>
          <t>Agenda</t>
        </is>
      </c>
      <c r="M3" s="182" t="inlineStr">
        <is>
          <t>Lead</t>
        </is>
      </c>
      <c r="N3" s="183" t="inlineStr">
        <is>
          <t>Agenda</t>
        </is>
      </c>
      <c r="O3" s="183" t="inlineStr">
        <is>
          <t>Lead</t>
        </is>
      </c>
      <c r="P3" s="184" t="inlineStr">
        <is>
          <t>Agenda</t>
        </is>
      </c>
      <c r="Q3" s="184" t="inlineStr">
        <is>
          <t>Lead</t>
        </is>
      </c>
      <c r="R3" s="185" t="inlineStr">
        <is>
          <t>Agenda</t>
        </is>
      </c>
      <c r="S3" s="185" t="inlineStr">
        <is>
          <t>Lead</t>
        </is>
      </c>
      <c r="T3" s="179" t="n"/>
      <c r="U3" s="181" t="inlineStr">
        <is>
          <t>Time</t>
        </is>
      </c>
      <c r="V3" s="182" t="inlineStr">
        <is>
          <t>Agenda</t>
        </is>
      </c>
      <c r="W3" s="182" t="inlineStr">
        <is>
          <t>Lead</t>
        </is>
      </c>
      <c r="X3" s="183" t="inlineStr">
        <is>
          <t>Agenda</t>
        </is>
      </c>
      <c r="Y3" s="183" t="inlineStr">
        <is>
          <t>Lead</t>
        </is>
      </c>
      <c r="Z3" s="184" t="inlineStr">
        <is>
          <t>Agenda</t>
        </is>
      </c>
      <c r="AA3" s="184" t="inlineStr">
        <is>
          <t>Lead</t>
        </is>
      </c>
      <c r="AB3" s="185" t="inlineStr">
        <is>
          <t>Agenda</t>
        </is>
      </c>
      <c r="AC3" s="185" t="inlineStr">
        <is>
          <t>Lead</t>
        </is>
      </c>
      <c r="AD3" s="179" t="n"/>
      <c r="AE3" s="181" t="inlineStr">
        <is>
          <t>Time</t>
        </is>
      </c>
      <c r="AF3" s="182" t="inlineStr">
        <is>
          <t>Agenda</t>
        </is>
      </c>
      <c r="AG3" s="182" t="inlineStr">
        <is>
          <t>Lead</t>
        </is>
      </c>
      <c r="AH3" s="183" t="inlineStr">
        <is>
          <t>Agenda</t>
        </is>
      </c>
      <c r="AI3" s="183" t="inlineStr">
        <is>
          <t>Lead</t>
        </is>
      </c>
      <c r="AJ3" s="184" t="inlineStr">
        <is>
          <t>Agenda</t>
        </is>
      </c>
      <c r="AK3" s="184" t="inlineStr">
        <is>
          <t>Lead</t>
        </is>
      </c>
      <c r="AL3" s="185" t="inlineStr">
        <is>
          <t>Agenda</t>
        </is>
      </c>
      <c r="AM3" s="185" t="inlineStr">
        <is>
          <t>Lead</t>
        </is>
      </c>
      <c r="AN3" s="179" t="n"/>
      <c r="AO3" s="181" t="inlineStr">
        <is>
          <t>Time</t>
        </is>
      </c>
      <c r="AP3" s="182" t="inlineStr">
        <is>
          <t>Agenda</t>
        </is>
      </c>
      <c r="AQ3" s="182" t="inlineStr">
        <is>
          <t>Lead</t>
        </is>
      </c>
      <c r="AR3" s="183" t="inlineStr">
        <is>
          <t>Agenda</t>
        </is>
      </c>
      <c r="AS3" s="183" t="inlineStr">
        <is>
          <t>Lead</t>
        </is>
      </c>
      <c r="AT3" s="184" t="inlineStr">
        <is>
          <t>Agenda</t>
        </is>
      </c>
      <c r="AU3" s="184" t="inlineStr">
        <is>
          <t>Lead</t>
        </is>
      </c>
      <c r="AV3" s="185" t="inlineStr">
        <is>
          <t>Agenda</t>
        </is>
      </c>
      <c r="AW3" s="185" t="inlineStr">
        <is>
          <t>Lead</t>
        </is>
      </c>
    </row>
    <row r="4" ht="21.75" customHeight="1" s="107">
      <c r="A4" s="186" t="inlineStr">
        <is>
          <t>08:00</t>
        </is>
      </c>
      <c r="B4" s="187" t="n"/>
      <c r="C4" s="187" t="n"/>
      <c r="D4" s="187" t="n"/>
      <c r="E4" s="187" t="n"/>
      <c r="F4" s="187" t="n"/>
      <c r="G4" s="187" t="n"/>
      <c r="H4" s="187" t="n"/>
      <c r="I4" s="187" t="n"/>
      <c r="J4" s="179" t="n"/>
      <c r="K4" s="186" t="inlineStr">
        <is>
          <t>08:00</t>
        </is>
      </c>
      <c r="L4" s="187" t="n"/>
      <c r="M4" s="187" t="n"/>
      <c r="N4" s="187" t="n"/>
      <c r="O4" s="187" t="n"/>
      <c r="P4" s="187" t="n"/>
      <c r="Q4" s="187" t="n"/>
      <c r="R4" s="187" t="n"/>
      <c r="S4" s="187" t="n"/>
      <c r="T4" s="179" t="n"/>
      <c r="U4" s="186" t="inlineStr">
        <is>
          <t>08:00</t>
        </is>
      </c>
      <c r="V4" s="187" t="n"/>
      <c r="W4" s="187" t="n"/>
      <c r="X4" s="187" t="n"/>
      <c r="Y4" s="187" t="n"/>
      <c r="Z4" s="187" t="n"/>
      <c r="AA4" s="187" t="n"/>
      <c r="AB4" s="187" t="n"/>
      <c r="AC4" s="187" t="n"/>
      <c r="AD4" s="179" t="n"/>
      <c r="AE4" s="186" t="inlineStr">
        <is>
          <t>08:00</t>
        </is>
      </c>
      <c r="AF4" s="187" t="n"/>
      <c r="AG4" s="187" t="n"/>
      <c r="AH4" s="187" t="n"/>
      <c r="AI4" s="187" t="n"/>
      <c r="AJ4" s="187" t="n"/>
      <c r="AK4" s="187" t="n"/>
      <c r="AL4" s="187" t="n"/>
      <c r="AM4" s="187" t="n"/>
      <c r="AN4" s="179" t="n"/>
      <c r="AO4" s="186" t="inlineStr">
        <is>
          <t>08:00</t>
        </is>
      </c>
      <c r="AP4" s="187" t="n"/>
      <c r="AQ4" s="187" t="n"/>
      <c r="AR4" s="187" t="n"/>
      <c r="AS4" s="187" t="n"/>
      <c r="AT4" s="187" t="n"/>
      <c r="AU4" s="187" t="n"/>
      <c r="AV4" s="187" t="n"/>
      <c r="AW4" s="187" t="n"/>
    </row>
    <row r="5" ht="21.75" customHeight="1" s="107">
      <c r="A5" s="188" t="inlineStr">
        <is>
          <t>08:30</t>
        </is>
      </c>
      <c r="B5" s="187" t="n"/>
      <c r="C5" s="187" t="n"/>
      <c r="D5" s="187" t="n"/>
      <c r="E5" s="187" t="n"/>
      <c r="F5" s="187" t="n"/>
      <c r="G5" s="187" t="n"/>
      <c r="H5" s="187" t="n"/>
      <c r="I5" s="187" t="n"/>
      <c r="J5" s="179" t="n"/>
      <c r="K5" s="188" t="inlineStr">
        <is>
          <t>08:30</t>
        </is>
      </c>
      <c r="L5" s="187" t="n"/>
      <c r="M5" s="187" t="n"/>
      <c r="N5" s="187" t="n"/>
      <c r="O5" s="187" t="n"/>
      <c r="P5" s="187" t="n"/>
      <c r="Q5" s="187" t="n"/>
      <c r="R5" s="187" t="n"/>
      <c r="S5" s="187" t="n"/>
      <c r="T5" s="179" t="n"/>
      <c r="U5" s="188" t="inlineStr">
        <is>
          <t>08:30</t>
        </is>
      </c>
      <c r="V5" s="187" t="n"/>
      <c r="W5" s="187" t="n"/>
      <c r="X5" s="187" t="n"/>
      <c r="Y5" s="187" t="n"/>
      <c r="Z5" s="187" t="n"/>
      <c r="AA5" s="187" t="n"/>
      <c r="AB5" s="187" t="n"/>
      <c r="AC5" s="187" t="n"/>
      <c r="AD5" s="179" t="n"/>
      <c r="AE5" s="188" t="inlineStr">
        <is>
          <t>08:30</t>
        </is>
      </c>
      <c r="AF5" s="187" t="n"/>
      <c r="AG5" s="187" t="n"/>
      <c r="AH5" s="187" t="n"/>
      <c r="AI5" s="187" t="n"/>
      <c r="AJ5" s="187" t="n"/>
      <c r="AK5" s="187" t="n"/>
      <c r="AL5" s="187" t="n"/>
      <c r="AM5" s="187" t="n"/>
      <c r="AN5" s="179" t="n"/>
      <c r="AO5" s="188" t="inlineStr">
        <is>
          <t>08:30</t>
        </is>
      </c>
      <c r="AP5" s="187" t="n"/>
      <c r="AQ5" s="187" t="n"/>
      <c r="AR5" s="187" t="n"/>
      <c r="AS5" s="187" t="n"/>
      <c r="AT5" s="187" t="n"/>
      <c r="AU5" s="187" t="n"/>
      <c r="AV5" s="187" t="n"/>
      <c r="AW5" s="187" t="n"/>
    </row>
    <row r="6" ht="21.75" customHeight="1" s="107">
      <c r="A6" s="186" t="inlineStr">
        <is>
          <t>09:00</t>
        </is>
      </c>
      <c r="B6" s="189" t="inlineStr">
        <is>
          <t>Opening Keynote</t>
        </is>
      </c>
      <c r="C6" s="190" t="n"/>
      <c r="D6" s="190" t="n"/>
      <c r="E6" s="190" t="n"/>
      <c r="F6" s="190" t="n"/>
      <c r="G6" s="190" t="n"/>
      <c r="H6" s="190" t="n"/>
      <c r="I6" s="191" t="n"/>
      <c r="J6" s="179" t="n"/>
      <c r="K6" s="186" t="inlineStr">
        <is>
          <t>09:00</t>
        </is>
      </c>
      <c r="L6" s="192" t="inlineStr">
        <is>
          <t>Emotional Intelligence</t>
        </is>
      </c>
      <c r="M6" s="193" t="inlineStr">
        <is>
          <t>Aisha Johnson</t>
        </is>
      </c>
      <c r="N6" s="194" t="inlineStr">
        <is>
          <t>Security Fundamentals</t>
        </is>
      </c>
      <c r="O6" s="195" t="inlineStr">
        <is>
          <t>Alex Novak</t>
        </is>
      </c>
      <c r="P6" s="196" t="inlineStr">
        <is>
          <t>Design Systems</t>
        </is>
      </c>
      <c r="Q6" s="197" t="inlineStr">
        <is>
          <t>Yuki Tanaka</t>
        </is>
      </c>
      <c r="R6" s="198" t="inlineStr">
        <is>
          <t>Capacity Planning</t>
        </is>
      </c>
      <c r="S6" s="199" t="inlineStr">
        <is>
          <t>James Wright</t>
        </is>
      </c>
      <c r="T6" s="179" t="n"/>
      <c r="U6" s="186" t="inlineStr">
        <is>
          <t>09:00</t>
        </is>
      </c>
      <c r="V6" s="189" t="inlineStr">
        <is>
          <t>Midweek Keynote</t>
        </is>
      </c>
      <c r="W6" s="190" t="n"/>
      <c r="X6" s="190" t="n"/>
      <c r="Y6" s="190" t="n"/>
      <c r="Z6" s="190" t="n"/>
      <c r="AA6" s="190" t="n"/>
      <c r="AB6" s="190" t="n"/>
      <c r="AC6" s="191" t="n"/>
      <c r="AD6" s="179" t="n"/>
      <c r="AE6" s="186" t="inlineStr">
        <is>
          <t>09:00</t>
        </is>
      </c>
      <c r="AF6" s="192" t="inlineStr">
        <is>
          <t>Coaching Skills</t>
        </is>
      </c>
      <c r="AG6" s="193" t="inlineStr">
        <is>
          <t>Mark Torres</t>
        </is>
      </c>
      <c r="AH6" s="194" t="inlineStr">
        <is>
          <t>System Architecture</t>
        </is>
      </c>
      <c r="AI6" s="195" t="inlineStr">
        <is>
          <t>David Kim</t>
        </is>
      </c>
      <c r="AJ6" s="196" t="inlineStr">
        <is>
          <t>Data Visualization</t>
        </is>
      </c>
      <c r="AK6" s="197" t="inlineStr">
        <is>
          <t>Carlos Ruiz</t>
        </is>
      </c>
      <c r="AL6" s="198" t="inlineStr">
        <is>
          <t>Change Management</t>
        </is>
      </c>
      <c r="AM6" s="199" t="inlineStr">
        <is>
          <t>James Wright</t>
        </is>
      </c>
      <c r="AN6" s="179" t="n"/>
      <c r="AO6" s="186" t="inlineStr">
        <is>
          <t>09:00</t>
        </is>
      </c>
      <c r="AP6" s="192" t="inlineStr">
        <is>
          <t>Personal Action Plans</t>
        </is>
      </c>
      <c r="AQ6" s="193" t="inlineStr">
        <is>
          <t>Mark Torres</t>
        </is>
      </c>
      <c r="AR6" s="194" t="inlineStr">
        <is>
          <t>Tech Roadmapping</t>
        </is>
      </c>
      <c r="AS6" s="195" t="inlineStr">
        <is>
          <t>David Kim</t>
        </is>
      </c>
      <c r="AT6" s="196" t="inlineStr">
        <is>
          <t>Portfolio Building</t>
        </is>
      </c>
      <c r="AU6" s="197" t="inlineStr">
        <is>
          <t>Carlos Ruiz</t>
        </is>
      </c>
      <c r="AV6" s="198" t="inlineStr">
        <is>
          <t>Continuous Improvement</t>
        </is>
      </c>
      <c r="AW6" s="199" t="inlineStr">
        <is>
          <t>James Wright</t>
        </is>
      </c>
    </row>
    <row r="7" ht="21.75" customHeight="1" s="107">
      <c r="A7" s="188" t="inlineStr">
        <is>
          <t>09:30</t>
        </is>
      </c>
      <c r="B7" s="200" t="n"/>
      <c r="C7" s="201" t="n"/>
      <c r="D7" s="201" t="n"/>
      <c r="E7" s="201" t="n"/>
      <c r="F7" s="201" t="n"/>
      <c r="G7" s="201" t="n"/>
      <c r="H7" s="201" t="n"/>
      <c r="I7" s="202" t="n"/>
      <c r="J7" s="179" t="n"/>
      <c r="K7" s="188" t="inlineStr">
        <is>
          <t>09:30</t>
        </is>
      </c>
      <c r="L7" s="203" t="n"/>
      <c r="M7" s="204" t="n"/>
      <c r="N7" s="205" t="n"/>
      <c r="O7" s="206" t="n"/>
      <c r="P7" s="207" t="n"/>
      <c r="Q7" s="208" t="n"/>
      <c r="R7" s="209" t="n"/>
      <c r="S7" s="210" t="n"/>
      <c r="T7" s="179" t="n"/>
      <c r="U7" s="188" t="inlineStr">
        <is>
          <t>09:30</t>
        </is>
      </c>
      <c r="V7" s="200" t="n"/>
      <c r="W7" s="201" t="n"/>
      <c r="X7" s="201" t="n"/>
      <c r="Y7" s="201" t="n"/>
      <c r="Z7" s="201" t="n"/>
      <c r="AA7" s="201" t="n"/>
      <c r="AB7" s="201" t="n"/>
      <c r="AC7" s="202" t="n"/>
      <c r="AD7" s="179" t="n"/>
      <c r="AE7" s="188" t="inlineStr">
        <is>
          <t>09:30</t>
        </is>
      </c>
      <c r="AF7" s="203" t="n"/>
      <c r="AG7" s="204" t="n"/>
      <c r="AH7" s="205" t="n"/>
      <c r="AI7" s="206" t="n"/>
      <c r="AJ7" s="207" t="n"/>
      <c r="AK7" s="208" t="n"/>
      <c r="AL7" s="209" t="n"/>
      <c r="AM7" s="210" t="n"/>
      <c r="AN7" s="179" t="n"/>
      <c r="AO7" s="188" t="inlineStr">
        <is>
          <t>09:30</t>
        </is>
      </c>
      <c r="AP7" s="203" t="n"/>
      <c r="AQ7" s="204" t="n"/>
      <c r="AR7" s="205" t="n"/>
      <c r="AS7" s="206" t="n"/>
      <c r="AT7" s="207" t="n"/>
      <c r="AU7" s="208" t="n"/>
      <c r="AV7" s="209" t="n"/>
      <c r="AW7" s="210" t="n"/>
    </row>
    <row r="8" ht="21.75" customHeight="1" s="107">
      <c r="A8" s="186" t="inlineStr">
        <is>
          <t>10:00</t>
        </is>
      </c>
      <c r="B8" s="187" t="n"/>
      <c r="C8" s="187" t="n"/>
      <c r="D8" s="187" t="n"/>
      <c r="E8" s="187" t="n"/>
      <c r="F8" s="187" t="n"/>
      <c r="G8" s="187" t="n"/>
      <c r="H8" s="187" t="n"/>
      <c r="I8" s="187" t="n"/>
      <c r="J8" s="179" t="n"/>
      <c r="K8" s="186" t="inlineStr">
        <is>
          <t>10:00</t>
        </is>
      </c>
      <c r="L8" s="211" t="n"/>
      <c r="M8" s="212" t="n"/>
      <c r="N8" s="213" t="n"/>
      <c r="O8" s="214" t="n"/>
      <c r="P8" s="215" t="n"/>
      <c r="Q8" s="216" t="n"/>
      <c r="R8" s="217" t="n"/>
      <c r="S8" s="218" t="n"/>
      <c r="T8" s="179" t="n"/>
      <c r="U8" s="186" t="inlineStr">
        <is>
          <t>10:00</t>
        </is>
      </c>
      <c r="V8" s="219" t="inlineStr">
        <is>
          <t>Morning Break</t>
        </is>
      </c>
      <c r="W8" s="177" t="n"/>
      <c r="X8" s="177" t="n"/>
      <c r="Y8" s="177" t="n"/>
      <c r="Z8" s="177" t="n"/>
      <c r="AA8" s="177" t="n"/>
      <c r="AB8" s="177" t="n"/>
      <c r="AC8" s="220" t="n"/>
      <c r="AD8" s="179" t="n"/>
      <c r="AE8" s="186" t="inlineStr">
        <is>
          <t>10:00</t>
        </is>
      </c>
      <c r="AF8" s="211" t="n"/>
      <c r="AG8" s="212" t="n"/>
      <c r="AH8" s="213" t="n"/>
      <c r="AI8" s="214" t="n"/>
      <c r="AJ8" s="215" t="n"/>
      <c r="AK8" s="216" t="n"/>
      <c r="AL8" s="217" t="n"/>
      <c r="AM8" s="218" t="n"/>
      <c r="AN8" s="179" t="n"/>
      <c r="AO8" s="186" t="inlineStr">
        <is>
          <t>10:00</t>
        </is>
      </c>
      <c r="AP8" s="211" t="n"/>
      <c r="AQ8" s="212" t="n"/>
      <c r="AR8" s="213" t="n"/>
      <c r="AS8" s="214" t="n"/>
      <c r="AT8" s="215" t="n"/>
      <c r="AU8" s="216" t="n"/>
      <c r="AV8" s="217" t="n"/>
      <c r="AW8" s="218" t="n"/>
    </row>
    <row r="9" ht="21.75" customHeight="1" s="107">
      <c r="A9" s="188" t="inlineStr">
        <is>
          <t>10:30</t>
        </is>
      </c>
      <c r="B9" s="192" t="inlineStr">
        <is>
          <t>Leading Through Change</t>
        </is>
      </c>
      <c r="C9" s="193" t="inlineStr">
        <is>
          <t>Mark Torres</t>
        </is>
      </c>
      <c r="D9" s="194" t="inlineStr">
        <is>
          <t>API Design Patterns</t>
        </is>
      </c>
      <c r="E9" s="195" t="inlineStr">
        <is>
          <t>Priya Sharma</t>
        </is>
      </c>
      <c r="F9" s="196" t="inlineStr">
        <is>
          <t>Empathy Mapping 101</t>
        </is>
      </c>
      <c r="G9" s="197" t="inlineStr">
        <is>
          <t>Lena Müller</t>
        </is>
      </c>
      <c r="H9" s="198" t="inlineStr">
        <is>
          <t>Lean Process Improvement</t>
        </is>
      </c>
      <c r="I9" s="199" t="inlineStr">
        <is>
          <t>James Wright</t>
        </is>
      </c>
      <c r="J9" s="179" t="n"/>
      <c r="K9" s="188" t="inlineStr">
        <is>
          <t>10:30</t>
        </is>
      </c>
      <c r="L9" s="219" t="inlineStr">
        <is>
          <t>Morning Break</t>
        </is>
      </c>
      <c r="M9" s="177" t="n"/>
      <c r="N9" s="177" t="n"/>
      <c r="O9" s="177" t="n"/>
      <c r="P9" s="177" t="n"/>
      <c r="Q9" s="177" t="n"/>
      <c r="R9" s="177" t="n"/>
      <c r="S9" s="220" t="n"/>
      <c r="T9" s="179" t="n"/>
      <c r="U9" s="188" t="inlineStr">
        <is>
          <t>10:30</t>
        </is>
      </c>
      <c r="V9" s="192" t="inlineStr">
        <is>
          <t>Cross-Team Collaboration</t>
        </is>
      </c>
      <c r="W9" s="193" t="inlineStr">
        <is>
          <t>Aisha Johnson</t>
        </is>
      </c>
      <c r="X9" s="194" t="inlineStr">
        <is>
          <t>AI/ML Integration</t>
        </is>
      </c>
      <c r="Y9" s="195" t="inlineStr">
        <is>
          <t>Wei Zhang</t>
        </is>
      </c>
      <c r="Z9" s="196" t="inlineStr">
        <is>
          <t>Workshop Facilitation</t>
        </is>
      </c>
      <c r="AA9" s="197" t="inlineStr">
        <is>
          <t>Lena Müller</t>
        </is>
      </c>
      <c r="AB9" s="198" t="inlineStr">
        <is>
          <t>Incident Response</t>
        </is>
      </c>
      <c r="AC9" s="199" t="inlineStr">
        <is>
          <t>Alex Novak</t>
        </is>
      </c>
      <c r="AD9" s="179" t="n"/>
      <c r="AE9" s="188" t="inlineStr">
        <is>
          <t>10:30</t>
        </is>
      </c>
      <c r="AF9" s="219" t="inlineStr">
        <is>
          <t>Morning Break</t>
        </is>
      </c>
      <c r="AG9" s="177" t="n"/>
      <c r="AH9" s="177" t="n"/>
      <c r="AI9" s="177" t="n"/>
      <c r="AJ9" s="177" t="n"/>
      <c r="AK9" s="177" t="n"/>
      <c r="AL9" s="177" t="n"/>
      <c r="AM9" s="220" t="n"/>
      <c r="AN9" s="179" t="n"/>
      <c r="AO9" s="188" t="inlineStr">
        <is>
          <t>10:30</t>
        </is>
      </c>
      <c r="AP9" s="219" t="inlineStr">
        <is>
          <t>Morning Break</t>
        </is>
      </c>
      <c r="AQ9" s="177" t="n"/>
      <c r="AR9" s="177" t="n"/>
      <c r="AS9" s="177" t="n"/>
      <c r="AT9" s="177" t="n"/>
      <c r="AU9" s="177" t="n"/>
      <c r="AV9" s="177" t="n"/>
      <c r="AW9" s="220" t="n"/>
    </row>
    <row r="10" ht="21.75" customHeight="1" s="107">
      <c r="A10" s="186" t="inlineStr">
        <is>
          <t>11:00</t>
        </is>
      </c>
      <c r="B10" s="203" t="n"/>
      <c r="C10" s="204" t="n"/>
      <c r="D10" s="205" t="n"/>
      <c r="E10" s="206" t="n"/>
      <c r="F10" s="207" t="n"/>
      <c r="G10" s="208" t="n"/>
      <c r="H10" s="209" t="n"/>
      <c r="I10" s="210" t="n"/>
      <c r="J10" s="179" t="n"/>
      <c r="K10" s="186" t="inlineStr">
        <is>
          <t>11:00</t>
        </is>
      </c>
      <c r="L10" s="189" t="inlineStr">
        <is>
          <t>Panel: Future of Work</t>
        </is>
      </c>
      <c r="M10" s="190" t="n"/>
      <c r="N10" s="190" t="n"/>
      <c r="O10" s="190" t="n"/>
      <c r="P10" s="190" t="n"/>
      <c r="Q10" s="190" t="n"/>
      <c r="R10" s="190" t="n"/>
      <c r="S10" s="191" t="n"/>
      <c r="T10" s="179" t="n"/>
      <c r="U10" s="186" t="inlineStr">
        <is>
          <t>11:00</t>
        </is>
      </c>
      <c r="V10" s="203" t="n"/>
      <c r="W10" s="204" t="n"/>
      <c r="X10" s="205" t="n"/>
      <c r="Y10" s="206" t="n"/>
      <c r="Z10" s="207" t="n"/>
      <c r="AA10" s="208" t="n"/>
      <c r="AB10" s="209" t="n"/>
      <c r="AC10" s="210" t="n"/>
      <c r="AD10" s="179" t="n"/>
      <c r="AE10" s="186" t="inlineStr">
        <is>
          <t>11:00</t>
        </is>
      </c>
      <c r="AF10" s="192" t="inlineStr">
        <is>
          <t>Presentation Mastery</t>
        </is>
      </c>
      <c r="AG10" s="193" t="inlineStr">
        <is>
          <t>Tom Bradley</t>
        </is>
      </c>
      <c r="AH10" s="194" t="inlineStr">
        <is>
          <t>Testing Strategies</t>
        </is>
      </c>
      <c r="AI10" s="195" t="inlineStr">
        <is>
          <t>Priya Sharma</t>
        </is>
      </c>
      <c r="AJ10" s="196" t="inlineStr">
        <is>
          <t>Design Critiques</t>
        </is>
      </c>
      <c r="AK10" s="197" t="inlineStr">
        <is>
          <t>Yuki Tanaka</t>
        </is>
      </c>
      <c r="AL10" s="198" t="inlineStr">
        <is>
          <t>Process Automation</t>
        </is>
      </c>
      <c r="AM10" s="199" t="inlineStr">
        <is>
          <t>Nina Petrov</t>
        </is>
      </c>
      <c r="AN10" s="179" t="n"/>
      <c r="AO10" s="186" t="inlineStr">
        <is>
          <t>11:00</t>
        </is>
      </c>
      <c r="AP10" s="189" t="inlineStr">
        <is>
          <t>Track Showcases</t>
        </is>
      </c>
      <c r="AQ10" s="190" t="n"/>
      <c r="AR10" s="190" t="n"/>
      <c r="AS10" s="190" t="n"/>
      <c r="AT10" s="190" t="n"/>
      <c r="AU10" s="190" t="n"/>
      <c r="AV10" s="190" t="n"/>
      <c r="AW10" s="191" t="n"/>
    </row>
    <row r="11" ht="21.75" customHeight="1" s="107">
      <c r="A11" s="188" t="inlineStr">
        <is>
          <t>11:30</t>
        </is>
      </c>
      <c r="B11" s="211" t="n"/>
      <c r="C11" s="212" t="n"/>
      <c r="D11" s="213" t="n"/>
      <c r="E11" s="214" t="n"/>
      <c r="F11" s="215" t="n"/>
      <c r="G11" s="216" t="n"/>
      <c r="H11" s="217" t="n"/>
      <c r="I11" s="218" t="n"/>
      <c r="J11" s="179" t="n"/>
      <c r="K11" s="188" t="inlineStr">
        <is>
          <t>11:30</t>
        </is>
      </c>
      <c r="L11" s="200" t="n"/>
      <c r="M11" s="201" t="n"/>
      <c r="N11" s="201" t="n"/>
      <c r="O11" s="201" t="n"/>
      <c r="P11" s="201" t="n"/>
      <c r="Q11" s="201" t="n"/>
      <c r="R11" s="201" t="n"/>
      <c r="S11" s="202" t="n"/>
      <c r="T11" s="179" t="n"/>
      <c r="U11" s="188" t="inlineStr">
        <is>
          <t>11:30</t>
        </is>
      </c>
      <c r="V11" s="211" t="n"/>
      <c r="W11" s="212" t="n"/>
      <c r="X11" s="213" t="n"/>
      <c r="Y11" s="214" t="n"/>
      <c r="Z11" s="215" t="n"/>
      <c r="AA11" s="216" t="n"/>
      <c r="AB11" s="217" t="n"/>
      <c r="AC11" s="218" t="n"/>
      <c r="AD11" s="179" t="n"/>
      <c r="AE11" s="188" t="inlineStr">
        <is>
          <t>11:30</t>
        </is>
      </c>
      <c r="AF11" s="203" t="n"/>
      <c r="AG11" s="204" t="n"/>
      <c r="AH11" s="205" t="n"/>
      <c r="AI11" s="206" t="n"/>
      <c r="AJ11" s="207" t="n"/>
      <c r="AK11" s="208" t="n"/>
      <c r="AL11" s="209" t="n"/>
      <c r="AM11" s="210" t="n"/>
      <c r="AN11" s="179" t="n"/>
      <c r="AO11" s="188" t="inlineStr">
        <is>
          <t>11:30</t>
        </is>
      </c>
      <c r="AP11" s="200" t="n"/>
      <c r="AQ11" s="201" t="n"/>
      <c r="AR11" s="201" t="n"/>
      <c r="AS11" s="201" t="n"/>
      <c r="AT11" s="201" t="n"/>
      <c r="AU11" s="201" t="n"/>
      <c r="AV11" s="201" t="n"/>
      <c r="AW11" s="202" t="n"/>
    </row>
    <row r="12" ht="21.75" customHeight="1" s="107">
      <c r="A12" s="186" t="inlineStr">
        <is>
          <t>12:00</t>
        </is>
      </c>
      <c r="B12" s="219" t="inlineStr">
        <is>
          <t>Lunch &amp; Networking</t>
        </is>
      </c>
      <c r="C12" s="221" t="n"/>
      <c r="D12" s="221" t="n"/>
      <c r="E12" s="221" t="n"/>
      <c r="F12" s="221" t="n"/>
      <c r="G12" s="221" t="n"/>
      <c r="H12" s="221" t="n"/>
      <c r="I12" s="222" t="n"/>
      <c r="J12" s="179" t="n"/>
      <c r="K12" s="186" t="inlineStr">
        <is>
          <t>12:00</t>
        </is>
      </c>
      <c r="L12" s="219" t="inlineStr">
        <is>
          <t>Lunch &amp; Networking</t>
        </is>
      </c>
      <c r="M12" s="221" t="n"/>
      <c r="N12" s="221" t="n"/>
      <c r="O12" s="221" t="n"/>
      <c r="P12" s="221" t="n"/>
      <c r="Q12" s="221" t="n"/>
      <c r="R12" s="221" t="n"/>
      <c r="S12" s="222" t="n"/>
      <c r="T12" s="179" t="n"/>
      <c r="U12" s="186" t="inlineStr">
        <is>
          <t>12:00</t>
        </is>
      </c>
      <c r="V12" s="219" t="inlineStr">
        <is>
          <t>Lunch &amp; Networking</t>
        </is>
      </c>
      <c r="W12" s="221" t="n"/>
      <c r="X12" s="221" t="n"/>
      <c r="Y12" s="221" t="n"/>
      <c r="Z12" s="221" t="n"/>
      <c r="AA12" s="221" t="n"/>
      <c r="AB12" s="221" t="n"/>
      <c r="AC12" s="222" t="n"/>
      <c r="AD12" s="179" t="n"/>
      <c r="AE12" s="186" t="inlineStr">
        <is>
          <t>12:00</t>
        </is>
      </c>
      <c r="AF12" s="211" t="n"/>
      <c r="AG12" s="212" t="n"/>
      <c r="AH12" s="213" t="n"/>
      <c r="AI12" s="214" t="n"/>
      <c r="AJ12" s="215" t="n"/>
      <c r="AK12" s="216" t="n"/>
      <c r="AL12" s="217" t="n"/>
      <c r="AM12" s="218" t="n"/>
      <c r="AN12" s="179" t="n"/>
      <c r="AO12" s="186" t="inlineStr">
        <is>
          <t>12:00</t>
        </is>
      </c>
      <c r="AP12" s="219" t="inlineStr">
        <is>
          <t>Farewell Lunch</t>
        </is>
      </c>
      <c r="AQ12" s="221" t="n"/>
      <c r="AR12" s="221" t="n"/>
      <c r="AS12" s="221" t="n"/>
      <c r="AT12" s="221" t="n"/>
      <c r="AU12" s="221" t="n"/>
      <c r="AV12" s="221" t="n"/>
      <c r="AW12" s="222" t="n"/>
    </row>
    <row r="13" ht="21.75" customHeight="1" s="107">
      <c r="A13" s="188" t="inlineStr">
        <is>
          <t>12:30</t>
        </is>
      </c>
      <c r="B13" s="223" t="n"/>
      <c r="C13" s="224" t="n"/>
      <c r="D13" s="224" t="n"/>
      <c r="E13" s="224" t="n"/>
      <c r="F13" s="224" t="n"/>
      <c r="G13" s="224" t="n"/>
      <c r="H13" s="224" t="n"/>
      <c r="I13" s="225" t="n"/>
      <c r="J13" s="179" t="n"/>
      <c r="K13" s="188" t="inlineStr">
        <is>
          <t>12:30</t>
        </is>
      </c>
      <c r="L13" s="223" t="n"/>
      <c r="M13" s="224" t="n"/>
      <c r="N13" s="224" t="n"/>
      <c r="O13" s="224" t="n"/>
      <c r="P13" s="224" t="n"/>
      <c r="Q13" s="224" t="n"/>
      <c r="R13" s="224" t="n"/>
      <c r="S13" s="225" t="n"/>
      <c r="T13" s="179" t="n"/>
      <c r="U13" s="188" t="inlineStr">
        <is>
          <t>12:30</t>
        </is>
      </c>
      <c r="V13" s="223" t="n"/>
      <c r="W13" s="224" t="n"/>
      <c r="X13" s="224" t="n"/>
      <c r="Y13" s="224" t="n"/>
      <c r="Z13" s="224" t="n"/>
      <c r="AA13" s="224" t="n"/>
      <c r="AB13" s="224" t="n"/>
      <c r="AC13" s="225" t="n"/>
      <c r="AD13" s="179" t="n"/>
      <c r="AE13" s="188" t="inlineStr">
        <is>
          <t>12:30</t>
        </is>
      </c>
      <c r="AF13" s="219" t="inlineStr">
        <is>
          <t>Lunch &amp; Networking</t>
        </is>
      </c>
      <c r="AG13" s="221" t="n"/>
      <c r="AH13" s="221" t="n"/>
      <c r="AI13" s="221" t="n"/>
      <c r="AJ13" s="221" t="n"/>
      <c r="AK13" s="221" t="n"/>
      <c r="AL13" s="221" t="n"/>
      <c r="AM13" s="222" t="n"/>
      <c r="AN13" s="179" t="n"/>
      <c r="AO13" s="188" t="inlineStr">
        <is>
          <t>12:30</t>
        </is>
      </c>
      <c r="AP13" s="223" t="n"/>
      <c r="AQ13" s="224" t="n"/>
      <c r="AR13" s="224" t="n"/>
      <c r="AS13" s="224" t="n"/>
      <c r="AT13" s="224" t="n"/>
      <c r="AU13" s="224" t="n"/>
      <c r="AV13" s="224" t="n"/>
      <c r="AW13" s="225" t="n"/>
    </row>
    <row r="14" ht="21.75" customHeight="1" s="107">
      <c r="A14" s="186" t="inlineStr">
        <is>
          <t>13:00</t>
        </is>
      </c>
      <c r="B14" s="192" t="inlineStr">
        <is>
          <t>Stakeholder Alignment</t>
        </is>
      </c>
      <c r="C14" s="193" t="inlineStr">
        <is>
          <t>Aisha Johnson</t>
        </is>
      </c>
      <c r="D14" s="194" t="inlineStr">
        <is>
          <t>Cloud Infrastructure</t>
        </is>
      </c>
      <c r="E14" s="195" t="inlineStr">
        <is>
          <t>David Kim</t>
        </is>
      </c>
      <c r="F14" s="196" t="inlineStr">
        <is>
          <t>Prototyping Sprint</t>
        </is>
      </c>
      <c r="G14" s="197" t="inlineStr">
        <is>
          <t>Carlos Ruiz</t>
        </is>
      </c>
      <c r="H14" s="198" t="inlineStr">
        <is>
          <t>Risk Assessment</t>
        </is>
      </c>
      <c r="I14" s="199" t="inlineStr">
        <is>
          <t>Nina Petrov</t>
        </is>
      </c>
      <c r="J14" s="179" t="n"/>
      <c r="K14" s="186" t="inlineStr">
        <is>
          <t>13:00</t>
        </is>
      </c>
      <c r="L14" s="192" t="inlineStr">
        <is>
          <t>Conflict Resolution</t>
        </is>
      </c>
      <c r="M14" s="193" t="inlineStr">
        <is>
          <t>Mark Torres</t>
        </is>
      </c>
      <c r="N14" s="194" t="inlineStr">
        <is>
          <t>DevOps Practices</t>
        </is>
      </c>
      <c r="O14" s="195" t="inlineStr">
        <is>
          <t>Priya Sharma</t>
        </is>
      </c>
      <c r="P14" s="196" t="inlineStr">
        <is>
          <t>Accessibility Workshop</t>
        </is>
      </c>
      <c r="Q14" s="197" t="inlineStr">
        <is>
          <t>Carlos Ruiz</t>
        </is>
      </c>
      <c r="R14" s="198" t="inlineStr">
        <is>
          <t>Vendor Management</t>
        </is>
      </c>
      <c r="S14" s="199" t="inlineStr">
        <is>
          <t>Nina Petrov</t>
        </is>
      </c>
      <c r="T14" s="179" t="n"/>
      <c r="U14" s="186" t="inlineStr">
        <is>
          <t>13:00</t>
        </is>
      </c>
      <c r="V14" s="189" t="inlineStr">
        <is>
          <t>Cross-Track Hackathon</t>
        </is>
      </c>
      <c r="W14" s="190" t="n"/>
      <c r="X14" s="190" t="n"/>
      <c r="Y14" s="190" t="n"/>
      <c r="Z14" s="190" t="n"/>
      <c r="AA14" s="190" t="n"/>
      <c r="AB14" s="190" t="n"/>
      <c r="AC14" s="191" t="n"/>
      <c r="AD14" s="179" t="n"/>
      <c r="AE14" s="186" t="inlineStr">
        <is>
          <t>13:00</t>
        </is>
      </c>
      <c r="AF14" s="223" t="n"/>
      <c r="AG14" s="224" t="n"/>
      <c r="AH14" s="224" t="n"/>
      <c r="AI14" s="224" t="n"/>
      <c r="AJ14" s="224" t="n"/>
      <c r="AK14" s="224" t="n"/>
      <c r="AL14" s="224" t="n"/>
      <c r="AM14" s="225" t="n"/>
      <c r="AN14" s="179" t="n"/>
      <c r="AO14" s="186" t="inlineStr">
        <is>
          <t>13:00</t>
        </is>
      </c>
      <c r="AP14" s="189" t="inlineStr">
        <is>
          <t>Closing Keynote &amp; Awards</t>
        </is>
      </c>
      <c r="AQ14" s="190" t="n"/>
      <c r="AR14" s="190" t="n"/>
      <c r="AS14" s="190" t="n"/>
      <c r="AT14" s="190" t="n"/>
      <c r="AU14" s="190" t="n"/>
      <c r="AV14" s="190" t="n"/>
      <c r="AW14" s="191" t="n"/>
    </row>
    <row r="15" ht="21.75" customHeight="1" s="107">
      <c r="A15" s="188" t="inlineStr">
        <is>
          <t>13:30</t>
        </is>
      </c>
      <c r="B15" s="203" t="n"/>
      <c r="C15" s="204" t="n"/>
      <c r="D15" s="205" t="n"/>
      <c r="E15" s="206" t="n"/>
      <c r="F15" s="207" t="n"/>
      <c r="G15" s="208" t="n"/>
      <c r="H15" s="209" t="n"/>
      <c r="I15" s="210" t="n"/>
      <c r="J15" s="179" t="n"/>
      <c r="K15" s="188" t="inlineStr">
        <is>
          <t>13:30</t>
        </is>
      </c>
      <c r="L15" s="203" t="n"/>
      <c r="M15" s="204" t="n"/>
      <c r="N15" s="205" t="n"/>
      <c r="O15" s="206" t="n"/>
      <c r="P15" s="207" t="n"/>
      <c r="Q15" s="208" t="n"/>
      <c r="R15" s="209" t="n"/>
      <c r="S15" s="210" t="n"/>
      <c r="T15" s="179" t="n"/>
      <c r="U15" s="188" t="inlineStr">
        <is>
          <t>13:30</t>
        </is>
      </c>
      <c r="V15" s="226" t="n"/>
      <c r="AC15" s="227" t="n"/>
      <c r="AD15" s="179" t="n"/>
      <c r="AE15" s="188" t="inlineStr">
        <is>
          <t>13:30</t>
        </is>
      </c>
      <c r="AF15" s="192" t="inlineStr">
        <is>
          <t>Succession Planning</t>
        </is>
      </c>
      <c r="AG15" s="193" t="inlineStr">
        <is>
          <t>Aisha Johnson</t>
        </is>
      </c>
      <c r="AH15" s="194" t="inlineStr">
        <is>
          <t>Code Review Culture</t>
        </is>
      </c>
      <c r="AI15" s="195" t="inlineStr">
        <is>
          <t>Alex Novak</t>
        </is>
      </c>
      <c r="AJ15" s="196" t="inlineStr">
        <is>
          <t>Design Handoff</t>
        </is>
      </c>
      <c r="AK15" s="197" t="inlineStr">
        <is>
          <t>Lena Müller</t>
        </is>
      </c>
      <c r="AL15" s="198" t="inlineStr">
        <is>
          <t>KPI Dashboards</t>
        </is>
      </c>
      <c r="AM15" s="199" t="inlineStr">
        <is>
          <t>Rachel Green</t>
        </is>
      </c>
      <c r="AN15" s="179" t="n"/>
      <c r="AO15" s="188" t="inlineStr">
        <is>
          <t>13:30</t>
        </is>
      </c>
      <c r="AP15" s="200" t="n"/>
      <c r="AQ15" s="201" t="n"/>
      <c r="AR15" s="201" t="n"/>
      <c r="AS15" s="201" t="n"/>
      <c r="AT15" s="201" t="n"/>
      <c r="AU15" s="201" t="n"/>
      <c r="AV15" s="201" t="n"/>
      <c r="AW15" s="202" t="n"/>
    </row>
    <row r="16" ht="21.75" customHeight="1" s="107">
      <c r="A16" s="186" t="inlineStr">
        <is>
          <t>14:00</t>
        </is>
      </c>
      <c r="B16" s="211" t="n"/>
      <c r="C16" s="212" t="n"/>
      <c r="D16" s="213" t="n"/>
      <c r="E16" s="214" t="n"/>
      <c r="F16" s="215" t="n"/>
      <c r="G16" s="216" t="n"/>
      <c r="H16" s="217" t="n"/>
      <c r="I16" s="218" t="n"/>
      <c r="J16" s="179" t="n"/>
      <c r="K16" s="186" t="inlineStr">
        <is>
          <t>14:00</t>
        </is>
      </c>
      <c r="L16" s="211" t="n"/>
      <c r="M16" s="212" t="n"/>
      <c r="N16" s="213" t="n"/>
      <c r="O16" s="214" t="n"/>
      <c r="P16" s="215" t="n"/>
      <c r="Q16" s="216" t="n"/>
      <c r="R16" s="217" t="n"/>
      <c r="S16" s="218" t="n"/>
      <c r="T16" s="179" t="n"/>
      <c r="U16" s="186" t="inlineStr">
        <is>
          <t>14:00</t>
        </is>
      </c>
      <c r="V16" s="226" t="n"/>
      <c r="AC16" s="227" t="n"/>
      <c r="AD16" s="179" t="n"/>
      <c r="AE16" s="186" t="inlineStr">
        <is>
          <t>14:00</t>
        </is>
      </c>
      <c r="AF16" s="203" t="n"/>
      <c r="AG16" s="204" t="n"/>
      <c r="AH16" s="205" t="n"/>
      <c r="AI16" s="206" t="n"/>
      <c r="AJ16" s="207" t="n"/>
      <c r="AK16" s="208" t="n"/>
      <c r="AL16" s="209" t="n"/>
      <c r="AM16" s="210" t="n"/>
      <c r="AN16" s="179" t="n"/>
      <c r="AO16" s="186" t="inlineStr">
        <is>
          <t>14:00</t>
        </is>
      </c>
      <c r="AP16" s="187" t="n"/>
      <c r="AQ16" s="187" t="n"/>
      <c r="AR16" s="187" t="n"/>
      <c r="AS16" s="187" t="n"/>
      <c r="AT16" s="187" t="n"/>
      <c r="AU16" s="187" t="n"/>
      <c r="AV16" s="187" t="n"/>
      <c r="AW16" s="187" t="n"/>
    </row>
    <row r="17" ht="21.75" customHeight="1" s="107">
      <c r="A17" s="188" t="inlineStr">
        <is>
          <t>14:30</t>
        </is>
      </c>
      <c r="B17" s="219" t="inlineStr">
        <is>
          <t>Afternoon Break</t>
        </is>
      </c>
      <c r="C17" s="177" t="n"/>
      <c r="D17" s="177" t="n"/>
      <c r="E17" s="177" t="n"/>
      <c r="F17" s="177" t="n"/>
      <c r="G17" s="177" t="n"/>
      <c r="H17" s="177" t="n"/>
      <c r="I17" s="220" t="n"/>
      <c r="J17" s="179" t="n"/>
      <c r="K17" s="188" t="inlineStr">
        <is>
          <t>14:30</t>
        </is>
      </c>
      <c r="L17" s="219" t="inlineStr">
        <is>
          <t>Afternoon Break</t>
        </is>
      </c>
      <c r="M17" s="177" t="n"/>
      <c r="N17" s="177" t="n"/>
      <c r="O17" s="177" t="n"/>
      <c r="P17" s="177" t="n"/>
      <c r="Q17" s="177" t="n"/>
      <c r="R17" s="177" t="n"/>
      <c r="S17" s="220" t="n"/>
      <c r="T17" s="179" t="n"/>
      <c r="U17" s="188" t="inlineStr">
        <is>
          <t>14:30</t>
        </is>
      </c>
      <c r="V17" s="226" t="n"/>
      <c r="AC17" s="227" t="n"/>
      <c r="AD17" s="179" t="n"/>
      <c r="AE17" s="188" t="inlineStr">
        <is>
          <t>14:30</t>
        </is>
      </c>
      <c r="AF17" s="211" t="n"/>
      <c r="AG17" s="212" t="n"/>
      <c r="AH17" s="213" t="n"/>
      <c r="AI17" s="214" t="n"/>
      <c r="AJ17" s="215" t="n"/>
      <c r="AK17" s="216" t="n"/>
      <c r="AL17" s="217" t="n"/>
      <c r="AM17" s="218" t="n"/>
      <c r="AN17" s="179" t="n"/>
      <c r="AO17" s="188" t="inlineStr">
        <is>
          <t>14:30</t>
        </is>
      </c>
      <c r="AP17" s="187" t="n"/>
      <c r="AQ17" s="187" t="n"/>
      <c r="AR17" s="187" t="n"/>
      <c r="AS17" s="187" t="n"/>
      <c r="AT17" s="187" t="n"/>
      <c r="AU17" s="187" t="n"/>
      <c r="AV17" s="187" t="n"/>
      <c r="AW17" s="187" t="n"/>
    </row>
    <row r="18" ht="21.75" customHeight="1" s="107">
      <c r="A18" s="186" t="inlineStr">
        <is>
          <t>15:00</t>
        </is>
      </c>
      <c r="B18" s="192" t="inlineStr">
        <is>
          <t>Feedback Culture</t>
        </is>
      </c>
      <c r="C18" s="193" t="inlineStr">
        <is>
          <t>Tom Bradley</t>
        </is>
      </c>
      <c r="D18" s="194" t="inlineStr">
        <is>
          <t>Data Pipeline Design</t>
        </is>
      </c>
      <c r="E18" s="195" t="inlineStr">
        <is>
          <t>Wei Zhang</t>
        </is>
      </c>
      <c r="F18" s="196" t="inlineStr">
        <is>
          <t>Service Blueprinting</t>
        </is>
      </c>
      <c r="G18" s="197" t="inlineStr">
        <is>
          <t>Lena Müller</t>
        </is>
      </c>
      <c r="H18" s="198" t="inlineStr">
        <is>
          <t>Agile Ceremonies</t>
        </is>
      </c>
      <c r="I18" s="199" t="inlineStr">
        <is>
          <t>Rachel Green</t>
        </is>
      </c>
      <c r="J18" s="179" t="n"/>
      <c r="K18" s="186" t="inlineStr">
        <is>
          <t>15:00</t>
        </is>
      </c>
      <c r="L18" s="192" t="inlineStr">
        <is>
          <t>Strategic Planning</t>
        </is>
      </c>
      <c r="M18" s="193" t="inlineStr">
        <is>
          <t>Tom Bradley</t>
        </is>
      </c>
      <c r="N18" s="194" t="inlineStr">
        <is>
          <t>Performance Testing</t>
        </is>
      </c>
      <c r="O18" s="195" t="inlineStr">
        <is>
          <t>David Kim</t>
        </is>
      </c>
      <c r="P18" s="196" t="inlineStr">
        <is>
          <t>User Research Methods</t>
        </is>
      </c>
      <c r="Q18" s="197" t="inlineStr">
        <is>
          <t>Yuki Tanaka</t>
        </is>
      </c>
      <c r="R18" s="198" t="inlineStr">
        <is>
          <t>Budget Forecasting</t>
        </is>
      </c>
      <c r="S18" s="199" t="inlineStr">
        <is>
          <t>Rachel Green</t>
        </is>
      </c>
      <c r="T18" s="179" t="n"/>
      <c r="U18" s="186" t="inlineStr">
        <is>
          <t>15:00</t>
        </is>
      </c>
      <c r="V18" s="226" t="n"/>
      <c r="AC18" s="227" t="n"/>
      <c r="AD18" s="179" t="n"/>
      <c r="AE18" s="186" t="inlineStr">
        <is>
          <t>15:00</t>
        </is>
      </c>
      <c r="AF18" s="219" t="inlineStr">
        <is>
          <t>Afternoon Break</t>
        </is>
      </c>
      <c r="AG18" s="177" t="n"/>
      <c r="AH18" s="177" t="n"/>
      <c r="AI18" s="177" t="n"/>
      <c r="AJ18" s="177" t="n"/>
      <c r="AK18" s="177" t="n"/>
      <c r="AL18" s="177" t="n"/>
      <c r="AM18" s="220" t="n"/>
      <c r="AN18" s="179" t="n"/>
      <c r="AO18" s="186" t="inlineStr">
        <is>
          <t>15:00</t>
        </is>
      </c>
      <c r="AP18" s="187" t="n"/>
      <c r="AQ18" s="187" t="n"/>
      <c r="AR18" s="187" t="n"/>
      <c r="AS18" s="187" t="n"/>
      <c r="AT18" s="187" t="n"/>
      <c r="AU18" s="187" t="n"/>
      <c r="AV18" s="187" t="n"/>
      <c r="AW18" s="187" t="n"/>
    </row>
    <row r="19" ht="21.75" customHeight="1" s="107">
      <c r="A19" s="188" t="inlineStr">
        <is>
          <t>15:30</t>
        </is>
      </c>
      <c r="B19" s="203" t="n"/>
      <c r="C19" s="204" t="n"/>
      <c r="D19" s="205" t="n"/>
      <c r="E19" s="206" t="n"/>
      <c r="F19" s="207" t="n"/>
      <c r="G19" s="208" t="n"/>
      <c r="H19" s="209" t="n"/>
      <c r="I19" s="210" t="n"/>
      <c r="J19" s="179" t="n"/>
      <c r="K19" s="188" t="inlineStr">
        <is>
          <t>15:30</t>
        </is>
      </c>
      <c r="L19" s="203" t="n"/>
      <c r="M19" s="204" t="n"/>
      <c r="N19" s="205" t="n"/>
      <c r="O19" s="206" t="n"/>
      <c r="P19" s="207" t="n"/>
      <c r="Q19" s="208" t="n"/>
      <c r="R19" s="209" t="n"/>
      <c r="S19" s="210" t="n"/>
      <c r="T19" s="179" t="n"/>
      <c r="U19" s="188" t="inlineStr">
        <is>
          <t>15:30</t>
        </is>
      </c>
      <c r="V19" s="226" t="n"/>
      <c r="AC19" s="227" t="n"/>
      <c r="AD19" s="179" t="n"/>
      <c r="AE19" s="188" t="inlineStr">
        <is>
          <t>15:30</t>
        </is>
      </c>
      <c r="AF19" s="189" t="inlineStr">
        <is>
          <t>Hackathon Presentations</t>
        </is>
      </c>
      <c r="AG19" s="190" t="n"/>
      <c r="AH19" s="190" t="n"/>
      <c r="AI19" s="190" t="n"/>
      <c r="AJ19" s="190" t="n"/>
      <c r="AK19" s="190" t="n"/>
      <c r="AL19" s="190" t="n"/>
      <c r="AM19" s="191" t="n"/>
      <c r="AN19" s="179" t="n"/>
      <c r="AO19" s="188" t="inlineStr">
        <is>
          <t>15:30</t>
        </is>
      </c>
      <c r="AP19" s="187" t="n"/>
      <c r="AQ19" s="187" t="n"/>
      <c r="AR19" s="187" t="n"/>
      <c r="AS19" s="187" t="n"/>
      <c r="AT19" s="187" t="n"/>
      <c r="AU19" s="187" t="n"/>
      <c r="AV19" s="187" t="n"/>
      <c r="AW19" s="187" t="n"/>
    </row>
    <row r="20" ht="21.75" customHeight="1" s="107">
      <c r="A20" s="186" t="inlineStr">
        <is>
          <t>16:00</t>
        </is>
      </c>
      <c r="B20" s="211" t="n"/>
      <c r="C20" s="212" t="n"/>
      <c r="D20" s="213" t="n"/>
      <c r="E20" s="214" t="n"/>
      <c r="F20" s="215" t="n"/>
      <c r="G20" s="216" t="n"/>
      <c r="H20" s="217" t="n"/>
      <c r="I20" s="218" t="n"/>
      <c r="J20" s="179" t="n"/>
      <c r="K20" s="186" t="inlineStr">
        <is>
          <t>16:00</t>
        </is>
      </c>
      <c r="L20" s="211" t="n"/>
      <c r="M20" s="212" t="n"/>
      <c r="N20" s="213" t="n"/>
      <c r="O20" s="214" t="n"/>
      <c r="P20" s="215" t="n"/>
      <c r="Q20" s="216" t="n"/>
      <c r="R20" s="217" t="n"/>
      <c r="S20" s="218" t="n"/>
      <c r="T20" s="179" t="n"/>
      <c r="U20" s="186" t="inlineStr">
        <is>
          <t>16:00</t>
        </is>
      </c>
      <c r="V20" s="200" t="n"/>
      <c r="W20" s="201" t="n"/>
      <c r="X20" s="201" t="n"/>
      <c r="Y20" s="201" t="n"/>
      <c r="Z20" s="201" t="n"/>
      <c r="AA20" s="201" t="n"/>
      <c r="AB20" s="201" t="n"/>
      <c r="AC20" s="202" t="n"/>
      <c r="AD20" s="179" t="n"/>
      <c r="AE20" s="186" t="inlineStr">
        <is>
          <t>16:00</t>
        </is>
      </c>
      <c r="AF20" s="226" t="n"/>
      <c r="AM20" s="227" t="n"/>
      <c r="AN20" s="179" t="n"/>
      <c r="AO20" s="186" t="inlineStr">
        <is>
          <t>16:00</t>
        </is>
      </c>
      <c r="AP20" s="187" t="n"/>
      <c r="AQ20" s="187" t="n"/>
      <c r="AR20" s="187" t="n"/>
      <c r="AS20" s="187" t="n"/>
      <c r="AT20" s="187" t="n"/>
      <c r="AU20" s="187" t="n"/>
      <c r="AV20" s="187" t="n"/>
      <c r="AW20" s="187" t="n"/>
    </row>
    <row r="21" ht="21.75" customHeight="1" s="107">
      <c r="A21" s="188" t="inlineStr">
        <is>
          <t>16:30</t>
        </is>
      </c>
      <c r="B21" s="187" t="n"/>
      <c r="C21" s="187" t="n"/>
      <c r="D21" s="187" t="n"/>
      <c r="E21" s="187" t="n"/>
      <c r="F21" s="187" t="n"/>
      <c r="G21" s="187" t="n"/>
      <c r="H21" s="187" t="n"/>
      <c r="I21" s="187" t="n"/>
      <c r="J21" s="179" t="n"/>
      <c r="K21" s="188" t="inlineStr">
        <is>
          <t>16:30</t>
        </is>
      </c>
      <c r="L21" s="187" t="n"/>
      <c r="M21" s="187" t="n"/>
      <c r="N21" s="187" t="n"/>
      <c r="O21" s="187" t="n"/>
      <c r="P21" s="187" t="n"/>
      <c r="Q21" s="187" t="n"/>
      <c r="R21" s="187" t="n"/>
      <c r="S21" s="187" t="n"/>
      <c r="T21" s="179" t="n"/>
      <c r="U21" s="188" t="inlineStr">
        <is>
          <t>16:30</t>
        </is>
      </c>
      <c r="V21" s="187" t="n"/>
      <c r="W21" s="187" t="n"/>
      <c r="X21" s="187" t="n"/>
      <c r="Y21" s="187" t="n"/>
      <c r="Z21" s="187" t="n"/>
      <c r="AA21" s="187" t="n"/>
      <c r="AB21" s="187" t="n"/>
      <c r="AC21" s="187" t="n"/>
      <c r="AD21" s="179" t="n"/>
      <c r="AE21" s="188" t="inlineStr">
        <is>
          <t>16:30</t>
        </is>
      </c>
      <c r="AF21" s="200" t="n"/>
      <c r="AG21" s="201" t="n"/>
      <c r="AH21" s="201" t="n"/>
      <c r="AI21" s="201" t="n"/>
      <c r="AJ21" s="201" t="n"/>
      <c r="AK21" s="201" t="n"/>
      <c r="AL21" s="201" t="n"/>
      <c r="AM21" s="202" t="n"/>
      <c r="AN21" s="179" t="n"/>
      <c r="AO21" s="188" t="inlineStr">
        <is>
          <t>16:30</t>
        </is>
      </c>
      <c r="AP21" s="187" t="n"/>
      <c r="AQ21" s="187" t="n"/>
      <c r="AR21" s="187" t="n"/>
      <c r="AS21" s="187" t="n"/>
      <c r="AT21" s="187" t="n"/>
      <c r="AU21" s="187" t="n"/>
      <c r="AV21" s="187" t="n"/>
      <c r="AW21" s="187" t="n"/>
    </row>
    <row r="22" ht="21.75" customHeight="1" s="107">
      <c r="A22" s="186" t="inlineStr">
        <is>
          <t>17:00</t>
        </is>
      </c>
      <c r="B22" s="187" t="n"/>
      <c r="C22" s="187" t="n"/>
      <c r="D22" s="187" t="n"/>
      <c r="E22" s="187" t="n"/>
      <c r="F22" s="187" t="n"/>
      <c r="G22" s="187" t="n"/>
      <c r="H22" s="187" t="n"/>
      <c r="I22" s="187" t="n"/>
      <c r="J22" s="179" t="n"/>
      <c r="K22" s="186" t="inlineStr">
        <is>
          <t>17:00</t>
        </is>
      </c>
      <c r="L22" s="187" t="n"/>
      <c r="M22" s="187" t="n"/>
      <c r="N22" s="187" t="n"/>
      <c r="O22" s="187" t="n"/>
      <c r="P22" s="187" t="n"/>
      <c r="Q22" s="187" t="n"/>
      <c r="R22" s="187" t="n"/>
      <c r="S22" s="187" t="n"/>
      <c r="T22" s="179" t="n"/>
      <c r="U22" s="186" t="inlineStr">
        <is>
          <t>17:00</t>
        </is>
      </c>
      <c r="V22" s="187" t="n"/>
      <c r="W22" s="187" t="n"/>
      <c r="X22" s="187" t="n"/>
      <c r="Y22" s="187" t="n"/>
      <c r="Z22" s="187" t="n"/>
      <c r="AA22" s="187" t="n"/>
      <c r="AB22" s="187" t="n"/>
      <c r="AC22" s="187" t="n"/>
      <c r="AD22" s="179" t="n"/>
      <c r="AE22" s="186" t="inlineStr">
        <is>
          <t>17:00</t>
        </is>
      </c>
      <c r="AF22" s="187" t="n"/>
      <c r="AG22" s="187" t="n"/>
      <c r="AH22" s="187" t="n"/>
      <c r="AI22" s="187" t="n"/>
      <c r="AJ22" s="187" t="n"/>
      <c r="AK22" s="187" t="n"/>
      <c r="AL22" s="187" t="n"/>
      <c r="AM22" s="187" t="n"/>
      <c r="AN22" s="179" t="n"/>
      <c r="AO22" s="186" t="inlineStr">
        <is>
          <t>17:00</t>
        </is>
      </c>
      <c r="AP22" s="187" t="n"/>
      <c r="AQ22" s="187" t="n"/>
      <c r="AR22" s="187" t="n"/>
      <c r="AS22" s="187" t="n"/>
      <c r="AT22" s="187" t="n"/>
      <c r="AU22" s="187" t="n"/>
      <c r="AV22" s="187" t="n"/>
      <c r="AW22" s="187" t="n"/>
    </row>
    <row r="23" ht="21.75" customHeight="1" s="107">
      <c r="A23" s="188" t="inlineStr">
        <is>
          <t>17:30</t>
        </is>
      </c>
      <c r="B23" s="187" t="n"/>
      <c r="C23" s="187" t="n"/>
      <c r="D23" s="187" t="n"/>
      <c r="E23" s="187" t="n"/>
      <c r="F23" s="187" t="n"/>
      <c r="G23" s="187" t="n"/>
      <c r="H23" s="187" t="n"/>
      <c r="I23" s="187" t="n"/>
      <c r="J23" s="179" t="n"/>
      <c r="K23" s="188" t="inlineStr">
        <is>
          <t>17:30</t>
        </is>
      </c>
      <c r="L23" s="187" t="n"/>
      <c r="M23" s="187" t="n"/>
      <c r="N23" s="187" t="n"/>
      <c r="O23" s="187" t="n"/>
      <c r="P23" s="187" t="n"/>
      <c r="Q23" s="187" t="n"/>
      <c r="R23" s="187" t="n"/>
      <c r="S23" s="187" t="n"/>
      <c r="T23" s="179" t="n"/>
      <c r="U23" s="188" t="inlineStr">
        <is>
          <t>17:30</t>
        </is>
      </c>
      <c r="V23" s="187" t="n"/>
      <c r="W23" s="187" t="n"/>
      <c r="X23" s="187" t="n"/>
      <c r="Y23" s="187" t="n"/>
      <c r="Z23" s="187" t="n"/>
      <c r="AA23" s="187" t="n"/>
      <c r="AB23" s="187" t="n"/>
      <c r="AC23" s="187" t="n"/>
      <c r="AD23" s="179" t="n"/>
      <c r="AE23" s="188" t="inlineStr">
        <is>
          <t>17:30</t>
        </is>
      </c>
      <c r="AF23" s="187" t="n"/>
      <c r="AG23" s="187" t="n"/>
      <c r="AH23" s="187" t="n"/>
      <c r="AI23" s="187" t="n"/>
      <c r="AJ23" s="187" t="n"/>
      <c r="AK23" s="187" t="n"/>
      <c r="AL23" s="187" t="n"/>
      <c r="AM23" s="187" t="n"/>
      <c r="AN23" s="179" t="n"/>
      <c r="AO23" s="188" t="inlineStr">
        <is>
          <t>17:30</t>
        </is>
      </c>
      <c r="AP23" s="187" t="n"/>
      <c r="AQ23" s="187" t="n"/>
      <c r="AR23" s="187" t="n"/>
      <c r="AS23" s="187" t="n"/>
      <c r="AT23" s="187" t="n"/>
      <c r="AU23" s="187" t="n"/>
      <c r="AV23" s="187" t="n"/>
      <c r="AW23" s="187" t="n"/>
    </row>
  </sheetData>
  <mergeCells count="113">
    <mergeCell ref="AR6:AR8"/>
    <mergeCell ref="Q6:Q8"/>
    <mergeCell ref="AF19:AM21"/>
    <mergeCell ref="B6:I7"/>
    <mergeCell ref="N6:N8"/>
    <mergeCell ref="AM15:AM17"/>
    <mergeCell ref="M14:M16"/>
    <mergeCell ref="O14:O16"/>
    <mergeCell ref="AG15:AG17"/>
    <mergeCell ref="D9:D11"/>
    <mergeCell ref="F9:F11"/>
    <mergeCell ref="K2:S2"/>
    <mergeCell ref="A2:I2"/>
    <mergeCell ref="X9:X11"/>
    <mergeCell ref="Z9:Z11"/>
    <mergeCell ref="P14:P16"/>
    <mergeCell ref="C18:C20"/>
    <mergeCell ref="R14:R16"/>
    <mergeCell ref="AT6:AT8"/>
    <mergeCell ref="B17:I17"/>
    <mergeCell ref="E18:E20"/>
    <mergeCell ref="AL6:AL8"/>
    <mergeCell ref="P6:P8"/>
    <mergeCell ref="M6:M8"/>
    <mergeCell ref="AW6:AW8"/>
    <mergeCell ref="S6:S8"/>
    <mergeCell ref="AF18:AM18"/>
    <mergeCell ref="L17:S17"/>
    <mergeCell ref="AC9:AC11"/>
    <mergeCell ref="G14:G16"/>
    <mergeCell ref="I14:I16"/>
    <mergeCell ref="AK6:AK8"/>
    <mergeCell ref="W9:W11"/>
    <mergeCell ref="AP9:AW9"/>
    <mergeCell ref="P18:P20"/>
    <mergeCell ref="H18:H20"/>
    <mergeCell ref="R18:R20"/>
    <mergeCell ref="AQ6:AQ8"/>
    <mergeCell ref="AL10:AL12"/>
    <mergeCell ref="V12:AC13"/>
    <mergeCell ref="AF13:AM14"/>
    <mergeCell ref="AI15:AI17"/>
    <mergeCell ref="AK15:AK17"/>
    <mergeCell ref="AO2:AW2"/>
    <mergeCell ref="V9:V11"/>
    <mergeCell ref="B14:B16"/>
    <mergeCell ref="L14:L16"/>
    <mergeCell ref="N14:N16"/>
    <mergeCell ref="AP10:AW11"/>
    <mergeCell ref="AF15:AF17"/>
    <mergeCell ref="AK10:AK12"/>
    <mergeCell ref="AP6:AP8"/>
    <mergeCell ref="C9:C11"/>
    <mergeCell ref="AM10:AM12"/>
    <mergeCell ref="E9:E11"/>
    <mergeCell ref="M18:M20"/>
    <mergeCell ref="AM6:AM8"/>
    <mergeCell ref="AH6:AH8"/>
    <mergeCell ref="AJ6:AJ8"/>
    <mergeCell ref="AH15:AH17"/>
    <mergeCell ref="AJ15:AJ17"/>
    <mergeCell ref="AV6:AV8"/>
    <mergeCell ref="D18:D20"/>
    <mergeCell ref="G9:G11"/>
    <mergeCell ref="V14:AC20"/>
    <mergeCell ref="AL15:AL17"/>
    <mergeCell ref="O6:O8"/>
    <mergeCell ref="AF9:AM9"/>
    <mergeCell ref="C14:C16"/>
    <mergeCell ref="E14:E16"/>
    <mergeCell ref="AG6:AG8"/>
    <mergeCell ref="R6:R8"/>
    <mergeCell ref="Q14:Q16"/>
    <mergeCell ref="S14:S16"/>
    <mergeCell ref="H9:H11"/>
    <mergeCell ref="F18:F20"/>
    <mergeCell ref="AF6:AF8"/>
    <mergeCell ref="AB9:AB11"/>
    <mergeCell ref="V6:AC7"/>
    <mergeCell ref="G18:G20"/>
    <mergeCell ref="U2:AC2"/>
    <mergeCell ref="I18:I20"/>
    <mergeCell ref="AE2:AM2"/>
    <mergeCell ref="L10:S11"/>
    <mergeCell ref="V8:AC8"/>
    <mergeCell ref="D14:D16"/>
    <mergeCell ref="F14:F16"/>
    <mergeCell ref="L6:L8"/>
    <mergeCell ref="H14:H16"/>
    <mergeCell ref="I9:I11"/>
    <mergeCell ref="AG10:AG12"/>
    <mergeCell ref="AI10:AI12"/>
    <mergeCell ref="O18:O20"/>
    <mergeCell ref="Q18:Q20"/>
    <mergeCell ref="S18:S20"/>
    <mergeCell ref="AI6:AI8"/>
    <mergeCell ref="AF10:AF12"/>
    <mergeCell ref="AP12:AW13"/>
    <mergeCell ref="Y9:Y11"/>
    <mergeCell ref="AA9:AA11"/>
    <mergeCell ref="B18:B20"/>
    <mergeCell ref="L9:S9"/>
    <mergeCell ref="A1:AW1"/>
    <mergeCell ref="B12:I13"/>
    <mergeCell ref="L18:L20"/>
    <mergeCell ref="AP14:AW15"/>
    <mergeCell ref="N18:N20"/>
    <mergeCell ref="L12:S13"/>
    <mergeCell ref="AS6:AS8"/>
    <mergeCell ref="B9:B11"/>
    <mergeCell ref="AU6:AU8"/>
    <mergeCell ref="AH10:AH12"/>
    <mergeCell ref="AJ10:AJ12"/>
  </mergeCells>
  <printOptions horizontalCentered="0" verticalCentered="0" headings="0" gridLines="0" gridLinesSet="1"/>
  <pageMargins left="0.75" right="0.75" top="1" bottom="1" header="0.511811023622047" footer="0.511811023622047"/>
  <pageSetup orientation="landscape" paperSize="1" scale="100" fitToHeight="1" fitToWidth="1" pageOrder="downThenOver" blackAndWhite="0" draft="0" horizontalDpi="300" verticalDpi="300" copies="1"/>
</worksheet>
</file>

<file path=xl/worksheets/sheet7.xml><?xml version="1.0" encoding="utf-8"?>
<worksheet xmlns="http://schemas.openxmlformats.org/spreadsheetml/2006/main">
  <sheetPr filterMode="0">
    <tabColor rgb="FF0D9488"/>
    <outlinePr summaryBelow="1" summaryRight="1"/>
    <pageSetUpPr fitToPage="0"/>
  </sheetPr>
  <dimension ref="A1:E15"/>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4" customWidth="1" style="106" min="1" max="1"/>
    <col width="20" customWidth="1" style="106" min="2" max="2"/>
    <col width="40" customWidth="1" style="106" min="3" max="3"/>
    <col width="16" customWidth="1" style="106" min="4" max="5"/>
  </cols>
  <sheetData>
    <row r="1" ht="15" customHeight="1" s="107">
      <c r="A1" s="228" t="inlineStr">
        <is>
          <t>Speaker</t>
        </is>
      </c>
      <c r="B1" s="228" t="inlineStr">
        <is>
          <t>Track(s)</t>
        </is>
      </c>
      <c r="C1" s="228" t="inlineStr">
        <is>
          <t>Sessions</t>
        </is>
      </c>
      <c r="D1" s="228" t="inlineStr">
        <is>
          <t>Room(s)</t>
        </is>
      </c>
      <c r="E1" s="228" t="inlineStr">
        <is>
          <t>Days</t>
        </is>
      </c>
    </row>
    <row r="2" ht="23.25" customHeight="1" s="107">
      <c r="A2" s="229" t="inlineStr">
        <is>
          <t>Aisha Johnson</t>
        </is>
      </c>
      <c r="B2" s="229" t="inlineStr">
        <is>
          <t>Leadership</t>
        </is>
      </c>
      <c r="C2" s="230" t="inlineStr">
        <is>
          <t>Stakeholder Alignment; Emotional Intelligence; Cross-Team Collaboration</t>
        </is>
      </c>
      <c r="D2" s="230" t="inlineStr">
        <is>
          <t>Leadership</t>
        </is>
      </c>
      <c r="E2" s="230" t="inlineStr">
        <is>
          <t>1, 2, 3, 4</t>
        </is>
      </c>
    </row>
    <row r="3" ht="23.25" customHeight="1" s="107">
      <c r="A3" s="231" t="inlineStr">
        <is>
          <t>Alex Novak</t>
        </is>
      </c>
      <c r="B3" s="231" t="inlineStr">
        <is>
          <t>Operations, Technical</t>
        </is>
      </c>
      <c r="C3" s="232" t="inlineStr">
        <is>
          <t>Security Fundamentals; Incident Response; Code Review Culture</t>
        </is>
      </c>
      <c r="D3" s="232" t="inlineStr">
        <is>
          <t>Operations, Technical</t>
        </is>
      </c>
      <c r="E3" s="232" t="inlineStr">
        <is>
          <t>2, 3, 4</t>
        </is>
      </c>
    </row>
    <row r="4" ht="23.25" customHeight="1" s="107">
      <c r="A4" s="229" t="inlineStr">
        <is>
          <t>Carlos Ruiz</t>
        </is>
      </c>
      <c r="B4" s="229" t="inlineStr">
        <is>
          <t>Design Thinking</t>
        </is>
      </c>
      <c r="C4" s="230" t="inlineStr">
        <is>
          <t>Prototyping Sprint; Accessibility Workshop; Data Visualization</t>
        </is>
      </c>
      <c r="D4" s="230" t="inlineStr">
        <is>
          <t>Design Thinking</t>
        </is>
      </c>
      <c r="E4" s="230" t="inlineStr">
        <is>
          <t>1, 2, 4, 5</t>
        </is>
      </c>
    </row>
    <row r="5" ht="23.25" customHeight="1" s="107">
      <c r="A5" s="231" t="inlineStr">
        <is>
          <t>David Kim</t>
        </is>
      </c>
      <c r="B5" s="231" t="inlineStr">
        <is>
          <t>Technical</t>
        </is>
      </c>
      <c r="C5" s="232" t="inlineStr">
        <is>
          <t>Cloud Infrastructure; Performance Testing; System Architecture</t>
        </is>
      </c>
      <c r="D5" s="232" t="inlineStr">
        <is>
          <t>Technical</t>
        </is>
      </c>
      <c r="E5" s="232" t="inlineStr">
        <is>
          <t>1, 2, 4, 5</t>
        </is>
      </c>
    </row>
    <row r="6" ht="23.25" customHeight="1" s="107">
      <c r="A6" s="229" t="inlineStr">
        <is>
          <t>Dr. Sarah Chen</t>
        </is>
      </c>
      <c r="B6" s="229" t="inlineStr">
        <is>
          <t>Keynote</t>
        </is>
      </c>
      <c r="C6" s="230" t="inlineStr">
        <is>
          <t>Opening Keynote; Midweek Keynote; Closing Keynote &amp; Awards</t>
        </is>
      </c>
      <c r="D6" s="230" t="inlineStr">
        <is>
          <t>Keynote</t>
        </is>
      </c>
      <c r="E6" s="230" t="inlineStr">
        <is>
          <t>1, 3, 5</t>
        </is>
      </c>
    </row>
    <row r="7" ht="23.25" customHeight="1" s="107">
      <c r="A7" s="231" t="inlineStr">
        <is>
          <t>James Wright</t>
        </is>
      </c>
      <c r="B7" s="231" t="inlineStr">
        <is>
          <t>Operations</t>
        </is>
      </c>
      <c r="C7" s="232" t="inlineStr">
        <is>
          <t>Lean Process Improvement; Capacity Planning; Change Management</t>
        </is>
      </c>
      <c r="D7" s="232" t="inlineStr">
        <is>
          <t>Operations</t>
        </is>
      </c>
      <c r="E7" s="232" t="inlineStr">
        <is>
          <t>1, 2, 4, 5</t>
        </is>
      </c>
    </row>
    <row r="8" ht="23.25" customHeight="1" s="107">
      <c r="A8" s="229" t="inlineStr">
        <is>
          <t>Lena Müller</t>
        </is>
      </c>
      <c r="B8" s="229" t="inlineStr">
        <is>
          <t>Design Thinking</t>
        </is>
      </c>
      <c r="C8" s="230" t="inlineStr">
        <is>
          <t>Empathy Mapping 101; Service Blueprinting; Workshop Facilitation</t>
        </is>
      </c>
      <c r="D8" s="230" t="inlineStr">
        <is>
          <t>Design Thinking</t>
        </is>
      </c>
      <c r="E8" s="230" t="inlineStr">
        <is>
          <t>1, 3, 4</t>
        </is>
      </c>
    </row>
    <row r="9" ht="23.25" customHeight="1" s="107">
      <c r="A9" s="231" t="inlineStr">
        <is>
          <t>Mark Torres</t>
        </is>
      </c>
      <c r="B9" s="231" t="inlineStr">
        <is>
          <t>Leadership</t>
        </is>
      </c>
      <c r="C9" s="232" t="inlineStr">
        <is>
          <t>Leading Through Change; Conflict Resolution; Coaching Skills</t>
        </is>
      </c>
      <c r="D9" s="232" t="inlineStr">
        <is>
          <t>Leadership</t>
        </is>
      </c>
      <c r="E9" s="232" t="inlineStr">
        <is>
          <t>1, 2, 4, 5</t>
        </is>
      </c>
    </row>
    <row r="10" ht="23.25" customHeight="1" s="107">
      <c r="A10" s="229" t="inlineStr">
        <is>
          <t>Nina Petrov</t>
        </is>
      </c>
      <c r="B10" s="229" t="inlineStr">
        <is>
          <t>Operations</t>
        </is>
      </c>
      <c r="C10" s="230" t="inlineStr">
        <is>
          <t>Risk Assessment; Vendor Management; Process Automation</t>
        </is>
      </c>
      <c r="D10" s="230" t="inlineStr">
        <is>
          <t>Operations</t>
        </is>
      </c>
      <c r="E10" s="230" t="inlineStr">
        <is>
          <t>1, 2, 4</t>
        </is>
      </c>
    </row>
    <row r="11" ht="23.25" customHeight="1" s="107">
      <c r="A11" s="231" t="inlineStr">
        <is>
          <t>Priya Sharma</t>
        </is>
      </c>
      <c r="B11" s="231" t="inlineStr">
        <is>
          <t>Technical</t>
        </is>
      </c>
      <c r="C11" s="232" t="inlineStr">
        <is>
          <t>API Design Patterns; DevOps Practices; Testing Strategies</t>
        </is>
      </c>
      <c r="D11" s="232" t="inlineStr">
        <is>
          <t>Technical</t>
        </is>
      </c>
      <c r="E11" s="232" t="inlineStr">
        <is>
          <t>1, 2, 4</t>
        </is>
      </c>
    </row>
    <row r="12" ht="23.25" customHeight="1" s="107">
      <c r="A12" s="229" t="inlineStr">
        <is>
          <t>Rachel Green</t>
        </is>
      </c>
      <c r="B12" s="229" t="inlineStr">
        <is>
          <t>Operations</t>
        </is>
      </c>
      <c r="C12" s="230" t="inlineStr">
        <is>
          <t>Agile Ceremonies; Budget Forecasting; KPI Dashboards</t>
        </is>
      </c>
      <c r="D12" s="230" t="inlineStr">
        <is>
          <t>Operations</t>
        </is>
      </c>
      <c r="E12" s="230" t="inlineStr">
        <is>
          <t>1, 2, 4</t>
        </is>
      </c>
    </row>
    <row r="13" ht="23.25" customHeight="1" s="107">
      <c r="A13" s="231" t="inlineStr">
        <is>
          <t>Tom Bradley</t>
        </is>
      </c>
      <c r="B13" s="231" t="inlineStr">
        <is>
          <t>Leadership</t>
        </is>
      </c>
      <c r="C13" s="232" t="inlineStr">
        <is>
          <t>Feedback Culture; Strategic Planning; Presentation Mastery</t>
        </is>
      </c>
      <c r="D13" s="232" t="inlineStr">
        <is>
          <t>Leadership</t>
        </is>
      </c>
      <c r="E13" s="232" t="inlineStr">
        <is>
          <t>1, 2, 4</t>
        </is>
      </c>
    </row>
    <row r="14" ht="15" customHeight="1" s="107">
      <c r="A14" s="229" t="inlineStr">
        <is>
          <t>Wei Zhang</t>
        </is>
      </c>
      <c r="B14" s="229" t="inlineStr">
        <is>
          <t>Technical</t>
        </is>
      </c>
      <c r="C14" s="230" t="inlineStr">
        <is>
          <t>Data Pipeline Design; AI/ML Integration</t>
        </is>
      </c>
      <c r="D14" s="230" t="inlineStr">
        <is>
          <t>Technical</t>
        </is>
      </c>
      <c r="E14" s="230" t="inlineStr">
        <is>
          <t>1, 3</t>
        </is>
      </c>
    </row>
    <row r="15" ht="23.25" customHeight="1" s="107">
      <c r="A15" s="231" t="inlineStr">
        <is>
          <t>Yuki Tanaka</t>
        </is>
      </c>
      <c r="B15" s="231" t="inlineStr">
        <is>
          <t>Design Thinking</t>
        </is>
      </c>
      <c r="C15" s="232" t="inlineStr">
        <is>
          <t>Design Systems; User Research Methods; Design Critiques</t>
        </is>
      </c>
      <c r="D15" s="232" t="inlineStr">
        <is>
          <t>Design Thinking</t>
        </is>
      </c>
      <c r="E15" s="232" t="inlineStr">
        <is>
          <t>2, 4</t>
        </is>
      </c>
    </row>
  </sheetData>
  <autoFilter ref="A1:E15"/>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tabColor rgb="FF475569"/>
    <outlinePr summaryBelow="1" summaryRight="1"/>
    <pageSetUpPr fitToPage="0"/>
  </sheetPr>
  <dimension ref="A1:A44"/>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00" customWidth="1" style="106" min="1" max="1"/>
  </cols>
  <sheetData>
    <row r="1" ht="27.75" customHeight="1" s="107">
      <c r="A1" s="233" t="inlineStr">
        <is>
          <t>WORKSHOP TIMETABLE v4 — AUTO-UPDATING GUIDE</t>
        </is>
      </c>
    </row>
    <row r="2" ht="19.5" customHeight="1" s="107">
      <c r="A2" s="234" t="n"/>
    </row>
    <row r="3" ht="27.75" customHeight="1" s="107">
      <c r="A3" s="235" t="inlineStr">
        <is>
          <t>HOW IT WORKS</t>
        </is>
      </c>
    </row>
    <row r="4" ht="36" customHeight="1" s="107">
      <c r="A4" s="236" t="inlineStr">
        <is>
          <t>The Day 1–5 sheets pull session data live from the SessionDB sheet using INDEX/MATCH array formulas.</t>
        </is>
      </c>
    </row>
    <row r="5" ht="36" customHeight="1" s="107">
      <c r="A5" s="236" t="inlineStr">
        <is>
          <t>When you edit SessionDB (title, speaker, room, time, track), the Day sheets update instantly.</t>
        </is>
      </c>
    </row>
    <row r="6" ht="19.5" customHeight="1" s="107">
      <c r="A6" s="234" t="n"/>
    </row>
    <row r="7" ht="27.75" customHeight="1" s="107">
      <c r="A7" s="237" t="inlineStr">
        <is>
          <t>EXCEL VERSION COMPATIBILITY</t>
        </is>
      </c>
    </row>
    <row r="8" ht="19.5" customHeight="1" s="107">
      <c r="A8" s="238" t="inlineStr">
        <is>
          <t>Excel 365 / Excel 2021: Formulas work automatically. No extra steps needed.</t>
        </is>
      </c>
    </row>
    <row r="9" ht="48" customHeight="1" s="107">
      <c r="A9" s="236" t="inlineStr">
        <is>
          <t>Excel 2019 / 2016: You must activate array formulas manually. Select all formula cells (B4:E23 on any Day sheet), press F2, then press Ctrl+Shift+Enter. You will see curly braces {} around the formula in the formula bar. You only need to do this once per sheet.</t>
        </is>
      </c>
    </row>
    <row r="10" ht="36" customHeight="1" s="107">
      <c r="A10" s="239" t="inlineStr">
        <is>
          <t>Excel Online / SharePoint: Array formulas with MATCH(1,...,0) may not calculate. Use the VBA macro approach instead (see below).</t>
        </is>
      </c>
    </row>
    <row r="11" ht="19.5" customHeight="1" s="107">
      <c r="A11" s="234" t="n"/>
    </row>
    <row r="12" ht="27.75" customHeight="1" s="107">
      <c r="A12" s="240" t="inlineStr">
        <is>
          <t>HOW TO EDIT SESSIONS</t>
        </is>
      </c>
    </row>
    <row r="13" ht="19.5" customHeight="1" s="107">
      <c r="A13" s="234" t="inlineStr">
        <is>
          <t>1. Go to SessionDB sheet.</t>
        </is>
      </c>
    </row>
    <row r="14" ht="19.5" customHeight="1" s="107">
      <c r="A14" s="234" t="inlineStr">
        <is>
          <t>2. Edit any value: title, speaker, room, start time, end time, track.</t>
        </is>
      </c>
    </row>
    <row r="15" ht="19.5" customHeight="1" s="107">
      <c r="A15" s="234" t="inlineStr">
        <is>
          <t>3. Switch to the Day sheet — the change is already there.</t>
        </is>
      </c>
    </row>
    <row r="16" ht="36" customHeight="1" s="107">
      <c r="A16" s="234" t="inlineStr">
        <is>
          <t>4. To ADD a session: insert a row, fill Day (number 1–5), Start/End (text like 09:00), Title, Speaker, Room, Type, Track.</t>
        </is>
      </c>
    </row>
    <row r="17" ht="19.5" customHeight="1" s="107">
      <c r="A17" s="234" t="inlineStr">
        <is>
          <t>5. To REMOVE: delete the row from SessionDB.</t>
        </is>
      </c>
    </row>
    <row r="18" ht="36" customHeight="1" s="107">
      <c r="A18" s="234" t="inlineStr">
        <is>
          <t>6. To MOVE to a different time or track: change the Start, End, or Track columns.</t>
        </is>
      </c>
    </row>
    <row r="19" ht="19.5" customHeight="1" s="107">
      <c r="A19" s="234" t="n"/>
    </row>
    <row r="20" ht="27.75" customHeight="1" s="107">
      <c r="A20" s="241" t="inlineStr">
        <is>
          <t>DATA FORMAT RULES</t>
        </is>
      </c>
    </row>
    <row r="21" ht="48" customHeight="1" s="107">
      <c r="A21" s="234" t="inlineStr">
        <is>
          <t>Times MUST be text: type a leading apostrophe before the time, like '09:00. If Excel converts it to a time number, the formulas break. To fix: select the column → Format Cells → Text, then retype the times.</t>
        </is>
      </c>
    </row>
    <row r="22" ht="36" customHeight="1" s="107">
      <c r="A22" s="234" t="inlineStr">
        <is>
          <t>Track (column I) must exactly match: Leadership, Technical, Design Thinking, Operations, or all.</t>
        </is>
      </c>
    </row>
    <row r="23" ht="36" customHeight="1" s="107">
      <c r="A23" s="234" t="inlineStr">
        <is>
          <t>Type (column H) must exactly match: Leadership, Technical, Design Thinking, Operations, Keynote, or Break.</t>
        </is>
      </c>
    </row>
    <row r="24" ht="19.5" customHeight="1" s="107">
      <c r="A24" s="234" t="n"/>
    </row>
    <row r="25" ht="27.75" customHeight="1" s="107">
      <c r="A25" s="240" t="inlineStr">
        <is>
          <t>VBA MACRO ALTERNATIVE (RECOMMENDED FOR VISUAL OUTPUT)</t>
        </is>
      </c>
    </row>
    <row r="26" ht="36" customHeight="1" s="107">
      <c r="A26" s="234" t="inlineStr">
        <is>
          <t>For merged-cell visual timetables (like the original static version), use the VBA macro.</t>
        </is>
      </c>
    </row>
    <row r="27" ht="19.5" customHeight="1" s="107">
      <c r="A27" s="234" t="inlineStr">
        <is>
          <t>1. Save As → .xlsm (Macro-Enabled Workbook).</t>
        </is>
      </c>
    </row>
    <row r="28" ht="36" customHeight="1" s="107">
      <c r="A28" s="234" t="inlineStr">
        <is>
          <t>2. Press Alt+F11 → Insert → Module → paste the macro code from workshop-refresh-macro.bas.</t>
        </is>
      </c>
    </row>
    <row r="29" ht="19.5" customHeight="1" s="107">
      <c r="A29" s="234" t="inlineStr">
        <is>
          <t>3. Press Alt+F8 → RefreshAllDays → Run.</t>
        </is>
      </c>
    </row>
    <row r="30" ht="19.5" customHeight="1" s="107">
      <c r="A30" s="234" t="inlineStr">
        <is>
          <t>4. All Day sheets rebuild with merged cells, color borders, and full formatting.</t>
        </is>
      </c>
    </row>
    <row r="31" ht="36" customHeight="1" s="107">
      <c r="A31" s="242" t="inlineStr">
        <is>
          <t>NOTE: Rename the SessionDB tab back to 'Session Database' if using the VBA macro (the macro references that name).</t>
        </is>
      </c>
    </row>
    <row r="32" ht="19.5" customHeight="1" s="107">
      <c r="A32" s="234" t="n"/>
    </row>
    <row r="33" ht="27.75" customHeight="1" s="107">
      <c r="A33" s="240" t="inlineStr">
        <is>
          <t>UNDERSTANDING THE DAY SHEET DISPLAY</t>
        </is>
      </c>
    </row>
    <row r="34" ht="19.5" customHeight="1" s="107">
      <c r="A34" s="234" t="inlineStr">
        <is>
          <t>Session starts at this time → Shows: Title + Speaker • Room</t>
        </is>
      </c>
    </row>
    <row r="35" ht="19.5" customHeight="1" s="107">
      <c r="A35" s="234" t="inlineStr">
        <is>
          <t>Session ongoing (started earlier) → Shows: ↓ Title (continuation marker)</t>
        </is>
      </c>
    </row>
    <row r="36" ht="19.5" customHeight="1" s="107">
      <c r="A36" s="234" t="inlineStr">
        <is>
          <t>No session → Cell is blank</t>
        </is>
      </c>
    </row>
    <row r="37" ht="19.5" customHeight="1" s="107">
      <c r="A37" s="234" t="inlineStr">
        <is>
          <t>Colors are automatic via conditional formatting based on the session Type.</t>
        </is>
      </c>
    </row>
    <row r="38" ht="19.5" customHeight="1" s="107">
      <c r="A38" s="234" t="n"/>
    </row>
    <row r="39" ht="27.75" customHeight="1" s="107">
      <c r="A39" s="241" t="inlineStr">
        <is>
          <t>TROUBLESHOOTING BLANK CELLS</t>
        </is>
      </c>
    </row>
    <row r="40" ht="19.5" customHeight="1" s="107">
      <c r="A40" s="234" t="inlineStr">
        <is>
          <t>If Day sheets show blank cells:</t>
        </is>
      </c>
    </row>
    <row r="41" ht="36" customHeight="1" s="107">
      <c r="A41" s="234" t="inlineStr">
        <is>
          <t>1. Check that times in SessionDB column C and D are TEXT, not time-formatted numbers. The formula bar should show 09:00 not 0.375.</t>
        </is>
      </c>
    </row>
    <row r="42" ht="36" customHeight="1" s="107">
      <c r="A42" s="234" t="inlineStr">
        <is>
          <t>2. In Excel 2019 or earlier: select B4:E23 → F2 → Ctrl+Shift+Enter to array-enter.</t>
        </is>
      </c>
    </row>
    <row r="43" ht="19.5" customHeight="1" s="107">
      <c r="A43" s="234" t="inlineStr">
        <is>
          <t>3. Verify Track names match exactly (case-sensitive in some formulas).</t>
        </is>
      </c>
    </row>
    <row r="44" ht="36" customHeight="1" s="107">
      <c r="A44" s="234" t="inlineStr">
        <is>
          <t>4. If nothing works: use the VBA macro approach — it bypasses all formula issues.</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2026-03-08T11:41:36Z</dcterms:created>
  <dcterms:modified xmlns:dcterms="http://purl.org/dc/terms/" xmlns:xsi="http://www.w3.org/2001/XMLSchema-instance" xsi:type="dcterms:W3CDTF">2026-03-09T13:50:44Z</dcterms:modified>
  <cp:revision>0</cp:revision>
</cp:coreProperties>
</file>